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r.joshi\Desktop\VDMC\mpeg-vmesh-tm-v4.0_integration\scripts\results\"/>
    </mc:Choice>
  </mc:AlternateContent>
  <bookViews>
    <workbookView xWindow="0" yWindow="0" windowWidth="19320" windowHeight="9144"/>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8"/>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Y46" i="6" s="1"/>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49" i="5"/>
  <c r="AJ50" i="5" s="1"/>
  <c r="C24" i="1" s="1"/>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J5" i="5"/>
  <c r="X1" i="5"/>
  <c r="J1" i="5"/>
  <c r="R17" i="3"/>
  <c r="R18" i="3" s="1"/>
  <c r="C14" i="1" s="1"/>
  <c r="Q17" i="3"/>
  <c r="L17" i="3"/>
  <c r="K17" i="3"/>
  <c r="O12" i="3"/>
  <c r="N12" i="3"/>
  <c r="I12" i="3"/>
  <c r="H12" i="3"/>
  <c r="O11" i="3"/>
  <c r="N11" i="3"/>
  <c r="I11" i="3"/>
  <c r="H11" i="3"/>
  <c r="O10" i="3"/>
  <c r="N10" i="3"/>
  <c r="I10" i="3"/>
  <c r="H10" i="3"/>
  <c r="O9" i="3"/>
  <c r="T9" i="3" s="1"/>
  <c r="N9" i="3"/>
  <c r="I9" i="3"/>
  <c r="H9" i="3"/>
  <c r="O8" i="3"/>
  <c r="N8" i="3"/>
  <c r="I8" i="3"/>
  <c r="I14" i="3" s="1"/>
  <c r="H8" i="3"/>
  <c r="O7" i="3"/>
  <c r="N7" i="3"/>
  <c r="I7" i="3"/>
  <c r="H7" i="3"/>
  <c r="O6" i="3"/>
  <c r="N6" i="3"/>
  <c r="I6" i="3"/>
  <c r="H6" i="3"/>
  <c r="O5" i="3"/>
  <c r="T5" i="3" s="1"/>
  <c r="N5" i="3"/>
  <c r="I5" i="3"/>
  <c r="H5" i="3"/>
  <c r="B1" i="2"/>
  <c r="AN35" i="6" a="1"/>
  <c r="AR35" i="6" a="1"/>
  <c r="AM35" i="6" a="1"/>
  <c r="AN40" i="6" a="1"/>
  <c r="AP35" i="6" a="1"/>
  <c r="AO35" i="6" a="1"/>
  <c r="AM40" i="6" a="1"/>
  <c r="AL35" i="6" a="1"/>
  <c r="AO40" i="6" a="1"/>
  <c r="AR40" i="6" a="1"/>
  <c r="AQ35" i="6" a="1"/>
  <c r="AQ40" i="6" a="1"/>
  <c r="AL40" i="6" a="1"/>
  <c r="AP40" i="6" a="1"/>
  <c r="AP30" i="6" a="1"/>
  <c r="AM5" i="6" a="1"/>
  <c r="AQ25" i="6" a="1"/>
  <c r="AM25" i="6" a="1"/>
  <c r="AN10" i="6" a="1"/>
  <c r="AQ5" i="6" a="1"/>
  <c r="AM20" i="6" a="1"/>
  <c r="AP20" i="6" a="1"/>
  <c r="AO15" i="6" a="1"/>
  <c r="AL30" i="6" a="1"/>
  <c r="AN25" i="6" a="1"/>
  <c r="AQ30" i="6" a="1"/>
  <c r="AQ15" i="6" a="1"/>
  <c r="AR10" i="6" a="1"/>
  <c r="AO25" i="6" a="1"/>
  <c r="AR20" i="6" a="1"/>
  <c r="AP5" i="6" a="1"/>
  <c r="AQ10" i="6" a="1"/>
  <c r="AN20" i="6" a="1"/>
  <c r="AN5" i="6" a="1"/>
  <c r="AN30" i="6" a="1"/>
  <c r="AM15" i="6" a="1"/>
  <c r="AL15" i="6" a="1"/>
  <c r="AR30" i="6" a="1"/>
  <c r="AR15" i="6" a="1"/>
  <c r="AR25" i="6" a="1"/>
  <c r="AM30" i="6" a="1"/>
  <c r="AP10" i="6" a="1"/>
  <c r="AO20" i="6" a="1"/>
  <c r="AR5" i="6" a="1"/>
  <c r="AP15" i="6" a="1"/>
  <c r="AP25" i="6" a="1"/>
  <c r="AO10" i="6" a="1"/>
  <c r="AL10" i="6" a="1"/>
  <c r="AQ20" i="6" a="1"/>
  <c r="AM10" i="6" a="1"/>
  <c r="AO30" i="6" a="1"/>
  <c r="AL5" i="6" a="1"/>
  <c r="AN15" i="6" a="1"/>
  <c r="AL25" i="6" a="1"/>
  <c r="AO5" i="6" a="1"/>
  <c r="AL20" i="6" a="1"/>
  <c r="AO35" i="5" a="1"/>
  <c r="AL25" i="5" a="1"/>
  <c r="AM30" i="5" a="1"/>
  <c r="AR25" i="5" a="1"/>
  <c r="AQ40" i="5" a="1"/>
  <c r="AO40" i="5" a="1"/>
  <c r="AM40" i="5" a="1"/>
  <c r="AR35" i="5" a="1"/>
  <c r="AQ30" i="5" a="1"/>
  <c r="AN25" i="5" a="1"/>
  <c r="AO30" i="5" a="1"/>
  <c r="AN30" i="5" a="1"/>
  <c r="AL30" i="5" a="1"/>
  <c r="AN35" i="5" a="1"/>
  <c r="AQ35" i="5" a="1"/>
  <c r="AP40" i="5" a="1"/>
  <c r="AL35" i="5" a="1"/>
  <c r="AR30" i="5" a="1"/>
  <c r="AR40" i="5" a="1"/>
  <c r="AP25" i="5" a="1"/>
  <c r="AQ25" i="5" a="1"/>
  <c r="AO25" i="5" a="1"/>
  <c r="AN40" i="5" a="1"/>
  <c r="AP35" i="5" a="1"/>
  <c r="AM35" i="5" a="1"/>
  <c r="AL40" i="5" a="1"/>
  <c r="AP30" i="5" a="1"/>
  <c r="AM25" i="5" a="1"/>
  <c r="AM5" i="5" a="1"/>
  <c r="AO20" i="5" a="1"/>
  <c r="AL15" i="5" a="1"/>
  <c r="AQ20" i="5" a="1"/>
  <c r="AL10" i="5" a="1"/>
  <c r="AP15" i="5" a="1"/>
  <c r="AP10" i="5" a="1"/>
  <c r="AN10" i="5" a="1"/>
  <c r="AN20" i="5" a="1"/>
  <c r="AR5" i="5" a="1"/>
  <c r="AL20" i="5" a="1"/>
  <c r="AQ5" i="5" a="1"/>
  <c r="AO15" i="5" a="1"/>
  <c r="AQ15" i="5" a="1"/>
  <c r="AN15" i="5" a="1"/>
  <c r="AR20" i="5" a="1"/>
  <c r="AP20" i="5" a="1"/>
  <c r="AM15" i="5" a="1"/>
  <c r="AO5" i="5" a="1"/>
  <c r="AR10" i="5" a="1"/>
  <c r="AM10" i="5" a="1"/>
  <c r="AN5" i="5" a="1"/>
  <c r="AL5" i="5" a="1"/>
  <c r="AO10" i="5" a="1"/>
  <c r="AR15" i="5" a="1"/>
  <c r="AP5" i="5" a="1"/>
  <c r="AQ10" i="5" a="1"/>
  <c r="AM20" i="5" a="1"/>
  <c r="T6" i="3" l="1"/>
  <c r="AJ50" i="6"/>
  <c r="C36" i="1" s="1"/>
  <c r="Y47" i="5"/>
  <c r="Y47" i="6"/>
  <c r="Y45" i="6"/>
  <c r="K47" i="6"/>
  <c r="K48" i="6"/>
  <c r="Y48" i="5"/>
  <c r="Y46" i="5"/>
  <c r="K48" i="5"/>
  <c r="K46" i="5"/>
  <c r="O13" i="3"/>
  <c r="T10" i="3"/>
  <c r="Q18" i="3"/>
  <c r="C13" i="1" s="1"/>
  <c r="O16" i="3"/>
  <c r="T11" i="3"/>
  <c r="I15" i="3"/>
  <c r="T8" i="3"/>
  <c r="T12" i="3"/>
  <c r="I16" i="3"/>
  <c r="AL40" i="6"/>
  <c r="AQ35" i="6"/>
  <c r="AQ10" i="5"/>
  <c r="AP25" i="5"/>
  <c r="AM30" i="5"/>
  <c r="AP40" i="5"/>
  <c r="AO5" i="6"/>
  <c r="AL10" i="6"/>
  <c r="AO20" i="6"/>
  <c r="AR30" i="6"/>
  <c r="AP5" i="6"/>
  <c r="AL5" i="5"/>
  <c r="AR10" i="5"/>
  <c r="AN15" i="5"/>
  <c r="AR25" i="5"/>
  <c r="AO30" i="5"/>
  <c r="AQ5" i="6"/>
  <c r="AN10" i="6"/>
  <c r="AQ20" i="6"/>
  <c r="AP35" i="6"/>
  <c r="AM40" i="6"/>
  <c r="AQ40" i="5"/>
  <c r="AO15" i="5"/>
  <c r="AN40" i="6"/>
  <c r="AP15" i="5"/>
  <c r="AM20" i="5"/>
  <c r="AP30" i="5"/>
  <c r="AM35" i="5"/>
  <c r="AL15" i="6"/>
  <c r="AR20" i="6"/>
  <c r="AN25" i="6"/>
  <c r="AR35" i="6"/>
  <c r="AO40" i="6"/>
  <c r="AL25" i="6"/>
  <c r="AO10" i="6"/>
  <c r="AN5" i="5"/>
  <c r="AO5" i="5"/>
  <c r="AQ15" i="5"/>
  <c r="AQ30" i="5"/>
  <c r="AN35" i="5"/>
  <c r="AP10" i="6"/>
  <c r="AM15" i="6"/>
  <c r="AO25" i="6"/>
  <c r="AL30" i="6"/>
  <c r="AM15" i="5"/>
  <c r="AM46" i="5" s="1"/>
  <c r="D20" i="1" s="1"/>
  <c r="AM25" i="6"/>
  <c r="AR30" i="5"/>
  <c r="AO35" i="5"/>
  <c r="AQ10" i="6"/>
  <c r="AN15" i="6"/>
  <c r="AP25" i="6"/>
  <c r="AM30" i="6"/>
  <c r="AP40" i="6"/>
  <c r="AN30" i="5"/>
  <c r="AL20" i="5"/>
  <c r="AN20" i="5"/>
  <c r="AL10" i="5"/>
  <c r="AO20" i="5"/>
  <c r="AL25" i="5"/>
  <c r="AP35" i="5"/>
  <c r="AR10" i="6"/>
  <c r="AO15" i="6"/>
  <c r="AO46" i="6" s="1"/>
  <c r="F32" i="1" s="1"/>
  <c r="AQ25" i="6"/>
  <c r="AQ40" i="6"/>
  <c r="AQ25" i="5"/>
  <c r="AM5" i="5"/>
  <c r="AP5" i="5"/>
  <c r="AM10" i="5"/>
  <c r="AP20" i="5"/>
  <c r="AP46" i="5" s="1"/>
  <c r="G20" i="1" s="1"/>
  <c r="AM25" i="5"/>
  <c r="AL40" i="5"/>
  <c r="AL5" i="6"/>
  <c r="AP15" i="6"/>
  <c r="AR25" i="6"/>
  <c r="AN30" i="6"/>
  <c r="AR40" i="6"/>
  <c r="AP20" i="6"/>
  <c r="AR40" i="5"/>
  <c r="AR5" i="5"/>
  <c r="AN10" i="5"/>
  <c r="AQ20" i="5"/>
  <c r="AN25" i="5"/>
  <c r="AQ35" i="5"/>
  <c r="AM40" i="5"/>
  <c r="AM5" i="6"/>
  <c r="AL20" i="6"/>
  <c r="AO30" i="6"/>
  <c r="AL35" i="6"/>
  <c r="AO35" i="6"/>
  <c r="AL35" i="5"/>
  <c r="AR15" i="5"/>
  <c r="AO10" i="5"/>
  <c r="AR20" i="5"/>
  <c r="AR35" i="5"/>
  <c r="AN40" i="5"/>
  <c r="AN5" i="6"/>
  <c r="AQ15" i="6"/>
  <c r="AM20" i="6"/>
  <c r="AP30" i="6"/>
  <c r="AM35" i="6"/>
  <c r="AM10" i="6"/>
  <c r="AR5" i="6"/>
  <c r="AQ5" i="5"/>
  <c r="AQ45" i="5" s="1"/>
  <c r="H19" i="1" s="1"/>
  <c r="AP10" i="5"/>
  <c r="AL15" i="5"/>
  <c r="AO25" i="5"/>
  <c r="AL30" i="5"/>
  <c r="AO40" i="5"/>
  <c r="AR15" i="6"/>
  <c r="AN20" i="6"/>
  <c r="AQ30" i="6"/>
  <c r="AN35" i="6"/>
  <c r="I13" i="3"/>
  <c r="Y48" i="6"/>
  <c r="O14" i="3"/>
  <c r="T14" i="3" s="1"/>
  <c r="C10" i="1" s="1"/>
  <c r="K45" i="5"/>
  <c r="T7" i="3"/>
  <c r="Y45" i="5"/>
  <c r="O15" i="3"/>
  <c r="T15" i="3" s="1"/>
  <c r="C11" i="1" s="1"/>
  <c r="K45" i="6"/>
  <c r="T16" i="3" l="1"/>
  <c r="C12" i="1" s="1"/>
  <c r="T13" i="3"/>
  <c r="C9" i="1" s="1"/>
  <c r="AQ48" i="6"/>
  <c r="H34" i="1" s="1"/>
  <c r="AO47" i="6"/>
  <c r="F33" i="1" s="1"/>
  <c r="AR45" i="5"/>
  <c r="I19" i="1" s="1"/>
  <c r="AO48" i="5"/>
  <c r="F22" i="1" s="1"/>
  <c r="AO45" i="5"/>
  <c r="F19" i="1" s="1"/>
  <c r="AM46" i="6"/>
  <c r="D32" i="1" s="1"/>
  <c r="AQ46" i="6"/>
  <c r="H32" i="1" s="1"/>
  <c r="AP46" i="6"/>
  <c r="G32" i="1" s="1"/>
  <c r="AR45" i="6"/>
  <c r="I31" i="1" s="1"/>
  <c r="AQ45" i="6"/>
  <c r="H31" i="1" s="1"/>
  <c r="AR48" i="6"/>
  <c r="I34" i="1" s="1"/>
  <c r="AL46" i="6"/>
  <c r="C32" i="1" s="1"/>
  <c r="AN46" i="6"/>
  <c r="E32" i="1" s="1"/>
  <c r="AQ47" i="6"/>
  <c r="H33" i="1" s="1"/>
  <c r="AM45" i="6"/>
  <c r="D31" i="1" s="1"/>
  <c r="AL45" i="6"/>
  <c r="C31" i="1" s="1"/>
  <c r="AR46" i="6"/>
  <c r="I32" i="1" s="1"/>
  <c r="AN45" i="6"/>
  <c r="E31" i="1" s="1"/>
  <c r="AR47" i="6"/>
  <c r="I33" i="1" s="1"/>
  <c r="AL47" i="6"/>
  <c r="C33" i="1" s="1"/>
  <c r="AP48" i="6"/>
  <c r="G34" i="1" s="1"/>
  <c r="AN48" i="6"/>
  <c r="E34" i="1" s="1"/>
  <c r="AL47" i="5"/>
  <c r="C21" i="1" s="1"/>
  <c r="AR47" i="5"/>
  <c r="I21" i="1" s="1"/>
  <c r="AR46" i="5"/>
  <c r="I20" i="1" s="1"/>
  <c r="AQ48" i="5"/>
  <c r="H22" i="1" s="1"/>
  <c r="AN45" i="5"/>
  <c r="E19" i="1" s="1"/>
  <c r="AL48" i="5"/>
  <c r="C22" i="1" s="1"/>
  <c r="AP48" i="5"/>
  <c r="G22" i="1" s="1"/>
  <c r="AM48" i="5"/>
  <c r="D22" i="1" s="1"/>
  <c r="AN47" i="5"/>
  <c r="E21" i="1" s="1"/>
  <c r="AM47" i="5"/>
  <c r="D21" i="1" s="1"/>
  <c r="AM48" i="6"/>
  <c r="D34" i="1" s="1"/>
  <c r="AP45" i="6"/>
  <c r="G31" i="1" s="1"/>
  <c r="AL45" i="5"/>
  <c r="C19" i="1" s="1"/>
  <c r="AL48" i="6"/>
  <c r="C34" i="1" s="1"/>
  <c r="AP45" i="5"/>
  <c r="G19" i="1" s="1"/>
  <c r="AQ47" i="5"/>
  <c r="H21" i="1" s="1"/>
  <c r="AN47" i="6"/>
  <c r="E33" i="1" s="1"/>
  <c r="AO48" i="6"/>
  <c r="F34" i="1" s="1"/>
  <c r="AO47" i="5"/>
  <c r="F21" i="1" s="1"/>
  <c r="AN48" i="5"/>
  <c r="E22" i="1" s="1"/>
  <c r="AP47" i="6"/>
  <c r="G33" i="1" s="1"/>
  <c r="AP47" i="5"/>
  <c r="G21" i="1" s="1"/>
  <c r="AM47" i="6"/>
  <c r="D33" i="1" s="1"/>
  <c r="AR48" i="5"/>
  <c r="I22" i="1" s="1"/>
  <c r="AL46" i="5"/>
  <c r="C20" i="1" s="1"/>
  <c r="AQ46" i="5"/>
  <c r="H20" i="1" s="1"/>
  <c r="AO46" i="5"/>
  <c r="F20" i="1" s="1"/>
  <c r="AM45" i="5"/>
  <c r="D19" i="1" s="1"/>
  <c r="AO45" i="6"/>
  <c r="F31" i="1" s="1"/>
  <c r="AN46" i="5"/>
  <c r="E20" i="1" s="1"/>
</calcChain>
</file>

<file path=xl/sharedStrings.xml><?xml version="1.0" encoding="utf-8"?>
<sst xmlns="http://schemas.openxmlformats.org/spreadsheetml/2006/main" count="807" uniqueCount="380">
  <si>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</si>
  <si>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</si>
  <si>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</si>
  <si>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</si>
  <si>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</si>
  <si>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</si>
  <si>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</si>
  <si>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</si>
  <si>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</si>
  <si>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</si>
  <si>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</si>
  <si>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</si>
  <si>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</si>
  <si>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</si>
  <si>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</si>
  <si>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</si>
  <si>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</si>
  <si>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</si>
  <si>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</si>
  <si>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</si>
  <si>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</si>
  <si>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</si>
  <si>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</si>
  <si>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</si>
  <si>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</si>
  <si>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</si>
  <si>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</si>
  <si>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</si>
  <si>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</si>
  <si>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</si>
  <si>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</si>
  <si>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</si>
  <si>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</si>
  <si>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</si>
  <si>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</si>
  <si>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</si>
  <si>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</si>
  <si>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</si>
  <si>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</si>
  <si>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</si>
  <si>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</si>
  <si>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</si>
  <si>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</si>
  <si>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</si>
  <si>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</si>
  <si>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</si>
  <si>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</si>
  <si>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</si>
  <si>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</si>
  <si>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</si>
  <si>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</si>
  <si>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</si>
  <si>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</si>
  <si>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</si>
  <si>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</si>
  <si>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</si>
  <si>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</si>
  <si>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</si>
  <si>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</si>
  <si>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</si>
  <si>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</si>
  <si>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</si>
  <si>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</si>
  <si>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</si>
  <si>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</si>
  <si>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</si>
  <si>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</si>
  <si>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</si>
  <si>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</si>
  <si>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</si>
  <si>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</si>
  <si>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</si>
  <si>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</si>
  <si>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</si>
  <si>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</si>
  <si>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</si>
  <si>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</si>
  <si>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</si>
  <si>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</si>
  <si>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</si>
  <si>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</si>
  <si>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</si>
  <si>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</si>
  <si>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</si>
  <si>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</si>
  <si>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</si>
  <si>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</si>
  <si>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</si>
  <si>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</si>
  <si>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</si>
  <si>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</si>
  <si>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</si>
  <si>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</si>
  <si>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</si>
  <si>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</si>
  <si>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</si>
  <si>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</si>
  <si>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</si>
  <si>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</si>
  <si>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</si>
  <si>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</si>
  <si>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</si>
  <si>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</si>
  <si>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</si>
  <si>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</si>
  <si>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</si>
  <si>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</si>
  <si>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</si>
  <si>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</si>
  <si>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</si>
  <si>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</si>
  <si>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</si>
  <si>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</si>
  <si>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</si>
  <si>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</si>
  <si>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</si>
  <si>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</si>
  <si>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</si>
  <si>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</si>
  <si>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</si>
  <si>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</si>
  <si>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</si>
  <si>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</si>
  <si>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</si>
  <si>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</si>
  <si>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</si>
  <si>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</si>
  <si>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</si>
  <si>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</si>
  <si>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</si>
  <si>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</si>
  <si>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</si>
  <si>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</si>
  <si>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</si>
  <si>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</si>
  <si>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</si>
  <si>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</si>
  <si>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</si>
  <si>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</si>
  <si>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</si>
  <si>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</si>
  <si>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</si>
  <si>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</si>
  <si>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</si>
  <si>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</si>
  <si>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</si>
  <si>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</si>
  <si>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</si>
  <si>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</si>
  <si>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</si>
  <si>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</si>
  <si>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</si>
  <si>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</si>
  <si>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</si>
  <si>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</si>
  <si>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</si>
  <si>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</si>
  <si>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</si>
  <si>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</si>
  <si>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</si>
  <si>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</si>
  <si>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</si>
  <si>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</si>
  <si>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</si>
  <si>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</si>
  <si>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</si>
  <si>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</si>
  <si>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</si>
  <si>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</si>
  <si>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</si>
  <si>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</si>
  <si>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</si>
  <si>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</si>
  <si>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</si>
  <si>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</si>
  <si>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</si>
  <si>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</si>
  <si>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</si>
  <si>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</si>
  <si>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</si>
  <si>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</si>
  <si>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</si>
  <si>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</si>
  <si>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</si>
  <si>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</si>
  <si>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</si>
  <si>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</si>
  <si>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</si>
  <si>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</si>
  <si>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</si>
  <si>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</si>
  <si>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</si>
  <si>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</si>
  <si>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</si>
  <si>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</si>
  <si>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</si>
  <si>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</si>
  <si>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</si>
  <si>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</si>
  <si>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</si>
  <si>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</si>
  <si>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</si>
  <si>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</si>
  <si>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</si>
  <si>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</si>
  <si>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</si>
  <si>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</si>
  <si>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</si>
  <si>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</si>
  <si>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</si>
  <si>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</si>
  <si>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</si>
  <si>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</si>
  <si>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</si>
  <si>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</si>
  <si>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</si>
  <si>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</si>
  <si>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</si>
  <si>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</si>
  <si>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</si>
  <si>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</si>
  <si>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</si>
  <si>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</si>
  <si>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</si>
  <si>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</si>
  <si>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</si>
  <si>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</si>
  <si>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</si>
  <si>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</si>
  <si>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</si>
  <si>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</si>
  <si>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</si>
  <si>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</si>
  <si>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</si>
  <si>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</si>
  <si>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</si>
  <si>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</si>
  <si>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</si>
  <si>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</si>
  <si>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</si>
  <si>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</si>
  <si>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</si>
  <si>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</si>
  <si>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</si>
  <si>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</si>
  <si>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</si>
  <si>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</si>
  <si>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</si>
  <si>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</si>
  <si>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</si>
  <si>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</si>
  <si>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</si>
  <si>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</si>
  <si>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</si>
  <si>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</si>
  <si>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</si>
  <si>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</si>
  <si>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</si>
  <si>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</si>
  <si>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</si>
  <si>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</si>
  <si>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</si>
  <si>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</si>
  <si>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</si>
  <si>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</si>
  <si>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</si>
  <si>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</si>
  <si>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</si>
  <si>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</si>
  <si>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</si>
  <si>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</si>
  <si>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</si>
  <si>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</si>
  <si>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</si>
  <si>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</si>
  <si>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</si>
  <si>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</si>
  <si>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</si>
  <si>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</si>
  <si>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</si>
  <si>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</si>
  <si>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</si>
  <si>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</si>
  <si>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</si>
  <si>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</si>
  <si>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</si>
  <si>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</si>
  <si>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</si>
  <si>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</si>
  <si>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</si>
  <si>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</si>
  <si>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</si>
  <si>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</si>
  <si>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</si>
  <si>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</si>
  <si>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</si>
  <si>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</si>
  <si>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</si>
  <si>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</si>
  <si>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</si>
  <si>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</si>
  <si>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</si>
  <si>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</si>
  <si>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</si>
  <si>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</si>
  <si>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</si>
  <si>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</si>
  <si>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</si>
  <si>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</si>
  <si>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</si>
  <si>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</si>
  <si>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</si>
  <si>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</si>
  <si>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</si>
  <si>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</si>
  <si>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</si>
  <si>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</si>
  <si>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</si>
  <si>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</si>
  <si>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</si>
  <si>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</si>
  <si>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</si>
  <si>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</si>
  <si>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</si>
  <si>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</si>
  <si>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</si>
  <si>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</si>
  <si>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</si>
  <si>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</si>
  <si>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</si>
  <si>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</si>
  <si>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</si>
  <si>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</si>
  <si>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</si>
  <si>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</si>
  <si>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</si>
  <si>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</si>
  <si>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</si>
  <si>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</si>
  <si>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</si>
  <si>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</si>
  <si>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</si>
  <si>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</si>
  <si>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</si>
  <si>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</si>
  <si>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</si>
  <si>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</si>
  <si>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</si>
  <si>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</si>
  <si>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</si>
  <si>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</si>
  <si>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</si>
  <si>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</si>
  <si>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</si>
  <si>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</si>
  <si>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</si>
  <si>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</si>
  <si>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</si>
  <si>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</si>
  <si>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</si>
  <si>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</si>
  <si>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</si>
  <si>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</si>
  <si>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</si>
  <si>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</si>
  <si>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</si>
  <si>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</si>
  <si>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</si>
  <si>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</si>
  <si>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</si>
  <si>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</si>
  <si>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</si>
  <si>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</si>
  <si>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</si>
  <si>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</si>
  <si>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</si>
  <si>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</si>
  <si>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</si>
  <si>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F032_v3.0</t>
  </si>
  <si>
    <t>integration-of-m62939-ee4-7-test-3-4-and-m63491-padding-at-the-bottom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</si>
</sst>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
    <numFmt numFmtId="166" formatCode="[&gt;1000]0;[&gt;100]0.0;0.00"/>
    <numFmt numFmtId="167" formatCode="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1">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0" fillId="0" borderId="0" xfId="0"/>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xf numFmtId="167" fontId="0" fillId="8" borderId="0" xfId="0" applyNumberFormat="1" applyFill="1" applyAlignment="1">
      <alignment horizontal="center"/>
    </xf>
    <xf numFmtId="167" fontId="0" fillId="10" borderId="0" xfId="0" applyNumberFormat="1" applyFill="1" applyAlignment="1">
      <alignment horizontal="center"/>
    </xf>
    <xf numFmtId="167" fontId="0" fillId="8" borderId="3" xfId="0" applyNumberFormat="1" applyFill="1" applyBorder="1" applyAlignment="1">
      <alignment horizontal="center"/>
    </xf>
    <xf numFmtId="167" fontId="0" fillId="10" borderId="3" xfId="0" applyNumberFormat="1" applyFill="1" applyBorder="1" applyAlignment="1">
      <alignment horizontal="center"/>
    </xf>
    <xf numFmtId="167" fontId="0" fillId="0" borderId="0" xfId="0" applyNumberFormat="1" applyAlignment="1">
      <alignment horizontal="center"/>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F032_v3.0</c:v>
                </c:pt>
              </c:strCache>
            </c:strRef>
          </c:tx>
          <c:spPr>
            <a:ln w="28575">
              <a:prstDash val="solid"/>
            </a:ln>
          </c:spPr>
          <c:marker>
            <c:symbol val="none"/>
          </c:marker>
          <c:xVal>
            <c:numRef>
              <c:f>Graphs!graph_a_x_range_A</c:f>
              <c:numCache>
                <c:formatCode>0.000</c:formatCode>
                <c:ptCount val="5"/>
                <c:pt idx="0">
                  <c:v>4.64445</c:v>
                </c:pt>
                <c:pt idx="1">
                  <c:v>6.0137549999999997</c:v>
                </c:pt>
                <c:pt idx="2">
                  <c:v>8.0323799999999999</c:v>
                </c:pt>
                <c:pt idx="3">
                  <c:v>14.3625975</c:v>
                </c:pt>
                <c:pt idx="4">
                  <c:v>24.605115000000001</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0-27EB-4128-A078-41ED7C2F403B}"/>
            </c:ext>
          </c:extLst>
        </c:ser>
        <c:ser>
          <c:idx val="1"/>
          <c:order val="1"/>
          <c:tx>
            <c:strRef>
              <c:f>Graphs!graph_a_B_title</c:f>
              <c:strCache>
                <c:ptCount val="1"/>
                <c:pt idx="0">
                  <c:v>integration-of-m62939-ee4-7-test-3-4-and-m63491-padding-at-the-bottom</c:v>
                </c:pt>
              </c:strCache>
            </c:strRef>
          </c:tx>
          <c:spPr>
            <a:ln w="28575">
              <a:prstDash val="solid"/>
            </a:ln>
          </c:spPr>
          <c:marker>
            <c:symbol val="none"/>
          </c:marker>
          <c:xVal>
            <c:numRef>
              <c:f>Graphs!graph_a_x_range_B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Graphs!graph_a_y_range_B</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1-27EB-4128-A078-41ED7C2F403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F032_v3.0</c:v>
                </c:pt>
              </c:strCache>
            </c:strRef>
          </c:tx>
          <c:spPr>
            <a:ln w="28575">
              <a:prstDash val="solid"/>
            </a:ln>
          </c:spPr>
          <c:marker>
            <c:symbol val="none"/>
          </c:marker>
          <c:xVal>
            <c:numRef>
              <c:f>Graphs!graph_b_x_range_A</c:f>
              <c:numCache>
                <c:formatCode>0.000</c:formatCode>
                <c:ptCount val="5"/>
                <c:pt idx="0">
                  <c:v>4.64445</c:v>
                </c:pt>
                <c:pt idx="1">
                  <c:v>6.0137549999999997</c:v>
                </c:pt>
                <c:pt idx="2">
                  <c:v>8.0323799999999999</c:v>
                </c:pt>
                <c:pt idx="3">
                  <c:v>14.3625975</c:v>
                </c:pt>
                <c:pt idx="4">
                  <c:v>24.605115000000001</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0-3993-48D3-9405-8ECC69DC378A}"/>
            </c:ext>
          </c:extLst>
        </c:ser>
        <c:ser>
          <c:idx val="1"/>
          <c:order val="1"/>
          <c:tx>
            <c:strRef>
              <c:f>Graphs!graph_b_B_title</c:f>
              <c:strCache>
                <c:ptCount val="1"/>
                <c:pt idx="0">
                  <c:v>integration-of-m62939-ee4-7-test-3-4-and-m63491-padding-at-the-bottom</c:v>
                </c:pt>
              </c:strCache>
            </c:strRef>
          </c:tx>
          <c:spPr>
            <a:ln w="28575">
              <a:prstDash val="solid"/>
            </a:ln>
          </c:spPr>
          <c:marker>
            <c:symbol val="none"/>
          </c:marker>
          <c:xVal>
            <c:numRef>
              <c:f>Graphs!graph_b_x_range_B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Graphs!graph_b_y_range_B</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1-3993-48D3-9405-8ECC69DC378A}"/>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F032_v3.0</c:v>
                </c:pt>
              </c:strCache>
            </c:strRef>
          </c:tx>
          <c:spPr>
            <a:ln w="28575">
              <a:prstDash val="solid"/>
            </a:ln>
          </c:spPr>
          <c:marker>
            <c:symbol val="none"/>
          </c:marker>
          <c:xVal>
            <c:numRef>
              <c:f>Graphs!graph_c_x_range_A</c:f>
              <c:numCache>
                <c:formatCode>0.000</c:formatCode>
                <c:ptCount val="5"/>
                <c:pt idx="0">
                  <c:v>4.64445</c:v>
                </c:pt>
                <c:pt idx="1">
                  <c:v>6.0137549999999997</c:v>
                </c:pt>
                <c:pt idx="2">
                  <c:v>8.0323799999999999</c:v>
                </c:pt>
                <c:pt idx="3">
                  <c:v>14.3625975</c:v>
                </c:pt>
                <c:pt idx="4">
                  <c:v>24.605115000000001</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0-0016-4FDE-AE5A-8EF282FB42F1}"/>
            </c:ext>
          </c:extLst>
        </c:ser>
        <c:ser>
          <c:idx val="1"/>
          <c:order val="1"/>
          <c:tx>
            <c:strRef>
              <c:f>Graphs!graph_c_B_title</c:f>
              <c:strCache>
                <c:ptCount val="1"/>
                <c:pt idx="0">
                  <c:v>integration-of-m62939-ee4-7-test-3-4-and-m63491-padding-at-the-bottom</c:v>
                </c:pt>
              </c:strCache>
            </c:strRef>
          </c:tx>
          <c:spPr>
            <a:ln w="28575">
              <a:prstDash val="solid"/>
            </a:ln>
          </c:spPr>
          <c:marker>
            <c:symbol val="none"/>
          </c:marker>
          <c:xVal>
            <c:numRef>
              <c:f>Graphs!graph_c_x_range_B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Graphs!graph_c_y_range_B</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1-0016-4FDE-AE5A-8EF282FB42F1}"/>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F032_v3.0</c:v>
                </c:pt>
              </c:strCache>
            </c:strRef>
          </c:tx>
          <c:spPr>
            <a:ln w="28575">
              <a:prstDash val="solid"/>
            </a:ln>
          </c:spPr>
          <c:marker>
            <c:symbol val="none"/>
          </c:marker>
          <c:xVal>
            <c:numRef>
              <c:f>Graphs!graph_d_x_range_A</c:f>
              <c:numCache>
                <c:formatCode>0.000</c:formatCode>
                <c:ptCount val="5"/>
                <c:pt idx="0">
                  <c:v>4.64445</c:v>
                </c:pt>
                <c:pt idx="1">
                  <c:v>6.0137549999999997</c:v>
                </c:pt>
                <c:pt idx="2">
                  <c:v>8.0323799999999999</c:v>
                </c:pt>
                <c:pt idx="3">
                  <c:v>14.3625975</c:v>
                </c:pt>
                <c:pt idx="4">
                  <c:v>24.605115000000001</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0-7E14-40B4-A6BC-67C4236B88D2}"/>
            </c:ext>
          </c:extLst>
        </c:ser>
        <c:ser>
          <c:idx val="1"/>
          <c:order val="1"/>
          <c:tx>
            <c:strRef>
              <c:f>Graphs!graph_d_B_title</c:f>
              <c:strCache>
                <c:ptCount val="1"/>
                <c:pt idx="0">
                  <c:v>integration-of-m62939-ee4-7-test-3-4-and-m63491-padding-at-the-bottom</c:v>
                </c:pt>
              </c:strCache>
            </c:strRef>
          </c:tx>
          <c:spPr>
            <a:ln w="28575">
              <a:prstDash val="solid"/>
            </a:ln>
          </c:spPr>
          <c:marker>
            <c:symbol val="none"/>
          </c:marker>
          <c:xVal>
            <c:numRef>
              <c:f>Graphs!graph_d_x_range_B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Graphs!graph_d_y_range_B</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1-7E14-40B4-A6BC-67C4236B88D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F032_v3.0</c:v>
                </c:pt>
              </c:strCache>
            </c:strRef>
          </c:tx>
          <c:spPr>
            <a:ln w="28575">
              <a:prstDash val="solid"/>
            </a:ln>
          </c:spPr>
          <c:marker>
            <c:symbol val="none"/>
          </c:marker>
          <c:xVal>
            <c:numRef>
              <c:f>Graphs!graph_e_x_range_A</c:f>
              <c:numCache>
                <c:formatCode>0.000</c:formatCode>
                <c:ptCount val="5"/>
                <c:pt idx="0">
                  <c:v>4.64445</c:v>
                </c:pt>
                <c:pt idx="1">
                  <c:v>6.0137549999999997</c:v>
                </c:pt>
                <c:pt idx="2">
                  <c:v>8.0323799999999999</c:v>
                </c:pt>
                <c:pt idx="3">
                  <c:v>14.3625975</c:v>
                </c:pt>
                <c:pt idx="4">
                  <c:v>24.605115000000001</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0-D35F-44A5-9164-05D708B0FC0B}"/>
            </c:ext>
          </c:extLst>
        </c:ser>
        <c:ser>
          <c:idx val="1"/>
          <c:order val="1"/>
          <c:tx>
            <c:strRef>
              <c:f>Graphs!graph_e_B_title</c:f>
              <c:strCache>
                <c:ptCount val="1"/>
                <c:pt idx="0">
                  <c:v>integration-of-m62939-ee4-7-test-3-4-and-m63491-padding-at-the-bottom</c:v>
                </c:pt>
              </c:strCache>
            </c:strRef>
          </c:tx>
          <c:spPr>
            <a:ln w="28575">
              <a:prstDash val="solid"/>
            </a:ln>
          </c:spPr>
          <c:marker>
            <c:symbol val="none"/>
          </c:marker>
          <c:xVal>
            <c:numRef>
              <c:f>Graphs!graph_e_x_range_B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Graphs!graph_e_y_range_B</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1-D35F-44A5-9164-05D708B0FC0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F032_v3.0</c:v>
                </c:pt>
              </c:strCache>
            </c:strRef>
          </c:tx>
          <c:spPr>
            <a:ln w="28575">
              <a:prstDash val="solid"/>
            </a:ln>
          </c:spPr>
          <c:marker>
            <c:symbol val="none"/>
          </c:marker>
          <c:xVal>
            <c:numRef>
              <c:f>Graphs!graph_f_x_range_A</c:f>
              <c:numCache>
                <c:formatCode>0.000</c:formatCode>
                <c:ptCount val="5"/>
                <c:pt idx="0">
                  <c:v>4.64445</c:v>
                </c:pt>
                <c:pt idx="1">
                  <c:v>6.0137549999999997</c:v>
                </c:pt>
                <c:pt idx="2">
                  <c:v>8.0323799999999999</c:v>
                </c:pt>
                <c:pt idx="3">
                  <c:v>14.3625975</c:v>
                </c:pt>
                <c:pt idx="4">
                  <c:v>24.605115000000001</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0-EF99-4E48-995B-4956CB75A4A4}"/>
            </c:ext>
          </c:extLst>
        </c:ser>
        <c:ser>
          <c:idx val="1"/>
          <c:order val="1"/>
          <c:tx>
            <c:strRef>
              <c:f>Graphs!graph_f_B_title</c:f>
              <c:strCache>
                <c:ptCount val="1"/>
                <c:pt idx="0">
                  <c:v>integration-of-m62939-ee4-7-test-3-4-and-m63491-padding-at-the-bottom</c:v>
                </c:pt>
              </c:strCache>
            </c:strRef>
          </c:tx>
          <c:spPr>
            <a:ln w="28575">
              <a:prstDash val="solid"/>
            </a:ln>
          </c:spPr>
          <c:marker>
            <c:symbol val="none"/>
          </c:marker>
          <c:xVal>
            <c:numRef>
              <c:f>Graphs!graph_f_x_range_B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Graphs!graph_f_y_range_B</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1-EF99-4E48-995B-4956CB75A4A4}"/>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layout/>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F032_v3.0</c:v>
                </c:pt>
              </c:strCache>
            </c:strRef>
          </c:tx>
          <c:spPr>
            <a:ln w="28575">
              <a:prstDash val="solid"/>
            </a:ln>
          </c:spPr>
          <c:marker>
            <c:symbol val="none"/>
          </c:marker>
          <c:xVal>
            <c:numRef>
              <c:f>Graphs!graph_g_x_range_A</c:f>
              <c:numCache>
                <c:formatCode>0.000</c:formatCode>
                <c:ptCount val="5"/>
                <c:pt idx="0">
                  <c:v>4.64445</c:v>
                </c:pt>
                <c:pt idx="1">
                  <c:v>6.0137549999999997</c:v>
                </c:pt>
                <c:pt idx="2">
                  <c:v>8.0323799999999999</c:v>
                </c:pt>
                <c:pt idx="3">
                  <c:v>14.3625975</c:v>
                </c:pt>
                <c:pt idx="4">
                  <c:v>24.605115000000001</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0-88C9-4B63-A775-C74185539962}"/>
            </c:ext>
          </c:extLst>
        </c:ser>
        <c:ser>
          <c:idx val="1"/>
          <c:order val="1"/>
          <c:tx>
            <c:strRef>
              <c:f>Graphs!graph_g_B_title</c:f>
              <c:strCache>
                <c:ptCount val="1"/>
                <c:pt idx="0">
                  <c:v>integration-of-m62939-ee4-7-test-3-4-and-m63491-padding-at-the-bottom</c:v>
                </c:pt>
              </c:strCache>
            </c:strRef>
          </c:tx>
          <c:spPr>
            <a:ln w="28575">
              <a:prstDash val="solid"/>
            </a:ln>
          </c:spPr>
          <c:marker>
            <c:symbol val="none"/>
          </c:marker>
          <c:xVal>
            <c:numRef>
              <c:f>Graphs!graph_g_x_range_B</c:f>
              <c:numCache>
                <c:formatCode>0.000</c:formatCode>
                <c:ptCount val="5"/>
                <c:pt idx="0">
                  <c:v>4.6519950000000003</c:v>
                </c:pt>
                <c:pt idx="1">
                  <c:v>6.0212624999999997</c:v>
                </c:pt>
                <c:pt idx="2">
                  <c:v>8.0406750000000002</c:v>
                </c:pt>
                <c:pt idx="3">
                  <c:v>14.36514</c:v>
                </c:pt>
                <c:pt idx="4">
                  <c:v>24.607657499999998</c:v>
                </c:pt>
              </c:numCache>
            </c:numRef>
          </c:xVal>
          <c:yVal>
            <c:numRef>
              <c:f>Graphs!graph_g_y_range_B</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1-88C9-4B63-A775-C74185539962}"/>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layout/>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layout/>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6"/>
  <sheetViews>
    <sheetView tabSelected="1" topLeftCell="A10" workbookViewId="0">
      <selection activeCell="F44" sqref="F44"/>
    </sheetView>
  </sheetViews>
  <sheetFormatPr defaultColWidth="9.109375" defaultRowHeight="14.4" x14ac:dyDescent="0.3"/>
  <cols>
    <col min="2" max="2" width="16.6640625" customWidth="1"/>
    <col min="3" max="9" width="24.6640625" customWidth="1"/>
  </cols>
  <sheetData>
    <row r="1" spans="2:9" x14ac:dyDescent="0.3">
      <c r="B1" t="s">
        <v>0</v>
      </c>
      <c r="C1" s="69" t="s">
        <v>378</v>
      </c>
      <c r="D1" s="61"/>
      <c r="E1" s="61"/>
    </row>
    <row r="2" spans="2:9" x14ac:dyDescent="0.3">
      <c r="B2" t="s">
        <v>1</v>
      </c>
      <c r="C2" s="70" t="s">
        <v>379</v>
      </c>
      <c r="D2" s="61"/>
      <c r="E2" s="61"/>
    </row>
    <row r="4" spans="2:9" s="1" customFormat="1" x14ac:dyDescent="0.3">
      <c r="B4" s="1" t="s">
        <v>2</v>
      </c>
    </row>
    <row r="6" spans="2:9" ht="45" customHeight="1" x14ac:dyDescent="0.3">
      <c r="B6" s="64" t="s">
        <v>3</v>
      </c>
      <c r="C6" s="2" t="s">
        <v>4</v>
      </c>
    </row>
    <row r="7" spans="2:9" x14ac:dyDescent="0.3">
      <c r="B7" s="61"/>
      <c r="C7" s="3" t="s">
        <v>5</v>
      </c>
    </row>
    <row r="8" spans="2:9" x14ac:dyDescent="0.3">
      <c r="B8" s="63"/>
      <c r="C8" s="4" t="s">
        <v>6</v>
      </c>
    </row>
    <row r="9" spans="2:9" x14ac:dyDescent="0.3">
      <c r="B9" t="s">
        <v>7</v>
      </c>
      <c r="C9" s="5">
        <f>'C0 lossless AI'!T13</f>
        <v>1.0000034016192911</v>
      </c>
    </row>
    <row r="10" spans="2:9" x14ac:dyDescent="0.3">
      <c r="B10" t="s">
        <v>8</v>
      </c>
      <c r="C10" s="5">
        <f>'C0 lossless AI'!T14</f>
        <v>1.0000046683857873</v>
      </c>
    </row>
    <row r="11" spans="2:9" x14ac:dyDescent="0.3">
      <c r="B11" t="s">
        <v>9</v>
      </c>
      <c r="C11" s="5">
        <f>'C0 lossless AI'!T15</f>
        <v>1.0000009582598288</v>
      </c>
    </row>
    <row r="12" spans="2:9" x14ac:dyDescent="0.3">
      <c r="B12" s="6" t="s">
        <v>10</v>
      </c>
      <c r="C12" s="7">
        <f>'C0 lossless AI'!T16</f>
        <v>1.0000014228472645</v>
      </c>
    </row>
    <row r="13" spans="2:9" x14ac:dyDescent="0.3">
      <c r="B13" t="s">
        <v>11</v>
      </c>
      <c r="C13" s="8">
        <f>'C0 lossless AI'!Q18</f>
        <v>1.3753634311216045</v>
      </c>
    </row>
    <row r="14" spans="2:9" x14ac:dyDescent="0.3">
      <c r="B14" s="9" t="s">
        <v>12</v>
      </c>
      <c r="C14" s="10">
        <f>'C0 lossless AI'!R18</f>
        <v>1.925205713449502</v>
      </c>
    </row>
    <row r="16" spans="2:9" x14ac:dyDescent="0.3">
      <c r="B16" s="64" t="s">
        <v>13</v>
      </c>
      <c r="C16" s="65" t="s">
        <v>14</v>
      </c>
      <c r="D16" s="66"/>
      <c r="E16" s="66"/>
      <c r="F16" s="66"/>
      <c r="G16" s="66"/>
      <c r="H16" s="66"/>
      <c r="I16" s="66"/>
    </row>
    <row r="17" spans="2:9" x14ac:dyDescent="0.3">
      <c r="B17" s="61"/>
      <c r="C17" s="67" t="s">
        <v>15</v>
      </c>
      <c r="D17" s="61"/>
      <c r="E17" s="61"/>
      <c r="F17" s="61"/>
      <c r="G17" s="61"/>
      <c r="H17" s="68" t="s">
        <v>16</v>
      </c>
      <c r="I17" s="61"/>
    </row>
    <row r="18" spans="2:9" x14ac:dyDescent="0.3">
      <c r="B18" s="63"/>
      <c r="C18" s="4" t="s">
        <v>17</v>
      </c>
      <c r="D18" s="4" t="s">
        <v>18</v>
      </c>
      <c r="E18" s="4" t="s">
        <v>19</v>
      </c>
      <c r="F18" s="4" t="s">
        <v>20</v>
      </c>
      <c r="G18" s="4" t="s">
        <v>21</v>
      </c>
      <c r="H18" s="11" t="s">
        <v>22</v>
      </c>
      <c r="I18" s="11" t="s">
        <v>19</v>
      </c>
    </row>
    <row r="19" spans="2:9" x14ac:dyDescent="0.3">
      <c r="B19" t="s">
        <v>7</v>
      </c>
      <c r="C19" s="5">
        <f>'C1 lossy AI'!$AL$45:$AL$45</f>
        <v>2.4298969207270371E-4</v>
      </c>
      <c r="D19" s="5">
        <f>'C1 lossy AI'!$AM$45:$AM$45</f>
        <v>2.4392241240422941E-4</v>
      </c>
      <c r="E19" s="5">
        <f>'C1 lossy AI'!$AN$45:$AN$45</f>
        <v>8.6987081719558379E-4</v>
      </c>
      <c r="F19" s="5">
        <f>'C1 lossy AI'!$AO$45:$AO$45</f>
        <v>9.2262671383769312E-4</v>
      </c>
      <c r="G19" s="5">
        <f>'C1 lossy AI'!$AP$45:$AP$45</f>
        <v>9.3060671757627667E-4</v>
      </c>
      <c r="H19" s="5">
        <f>'C1 lossy AI'!$AQ$45:$AQ$45</f>
        <v>2.3997817689325185E-4</v>
      </c>
      <c r="I19" s="5">
        <f>'C1 lossy AI'!$AR$45:$AR$45</f>
        <v>7.3665337065431657E-4</v>
      </c>
    </row>
    <row r="20" spans="2:9" x14ac:dyDescent="0.3">
      <c r="B20" t="s">
        <v>8</v>
      </c>
      <c r="C20" s="5">
        <f>'C1 lossy AI'!$AL$46:$AL$46</f>
        <v>2.0633503028877342E-4</v>
      </c>
      <c r="D20" s="5">
        <f>'C1 lossy AI'!$AM$46:$AM$46</f>
        <v>2.0741316483785521E-4</v>
      </c>
      <c r="E20" s="5">
        <f>'C1 lossy AI'!$AN$46:$AN$46</f>
        <v>1.3494620019455228E-3</v>
      </c>
      <c r="F20" s="5">
        <f>'C1 lossy AI'!$AO$46:$AO$46</f>
        <v>1.2090308853133225E-3</v>
      </c>
      <c r="G20" s="5">
        <f>'C1 lossy AI'!$AP$46:$AP$46</f>
        <v>1.2277887434078982E-3</v>
      </c>
      <c r="H20" s="5">
        <f>'C1 lossy AI'!$AQ$46:$AQ$46</f>
        <v>2.0253275273851568E-4</v>
      </c>
      <c r="I20" s="5">
        <f>'C1 lossy AI'!$AR$46:$AR$46</f>
        <v>8.2512359199871099E-4</v>
      </c>
    </row>
    <row r="21" spans="2:9" x14ac:dyDescent="0.3">
      <c r="B21" t="s">
        <v>9</v>
      </c>
      <c r="C21" s="5">
        <f>'C1 lossy AI'!$AL$47:$AL$47</f>
        <v>3.9525985417998566E-4</v>
      </c>
      <c r="D21" s="5">
        <f>'C1 lossy AI'!$AM$47:$AM$47</f>
        <v>3.8697491626532576E-4</v>
      </c>
      <c r="E21" s="5">
        <f>'C1 lossy AI'!$AN$47:$AN$47</f>
        <v>7.9301339877835275E-4</v>
      </c>
      <c r="F21" s="5">
        <f>'C1 lossy AI'!$AO$47:$AO$47</f>
        <v>9.4309080153837099E-4</v>
      </c>
      <c r="G21" s="5">
        <f>'C1 lossy AI'!$AP$47:$AP$47</f>
        <v>9.2386935699900752E-4</v>
      </c>
      <c r="H21" s="5">
        <f>'C1 lossy AI'!$AQ$47:$AQ$47</f>
        <v>3.6103464479436687E-4</v>
      </c>
      <c r="I21" s="5">
        <f>'C1 lossy AI'!$AR$47:$AR$47</f>
        <v>6.5558721556024935E-4</v>
      </c>
    </row>
    <row r="22" spans="2:9" x14ac:dyDescent="0.3">
      <c r="B22" s="6" t="s">
        <v>10</v>
      </c>
      <c r="C22" s="7">
        <f>'C1 lossy AI'!$AL$48:$AL$48</f>
        <v>3.0996110768036211E-4</v>
      </c>
      <c r="D22" s="7">
        <f>'C1 lossy AI'!$AM$48:$AM$48</f>
        <v>3.0632135244318404E-4</v>
      </c>
      <c r="E22" s="7">
        <f>'C1 lossy AI'!$AN$48:$AN$48</f>
        <v>9.5133990417445302E-4</v>
      </c>
      <c r="F22" s="7">
        <f>'C1 lossy AI'!$AO$48:$AO$48</f>
        <v>1.0044598005569394E-3</v>
      </c>
      <c r="G22" s="7">
        <f>'C1 lossy AI'!$AP$48:$AP$48</f>
        <v>1.0015335437455475E-3</v>
      </c>
      <c r="H22" s="7">
        <f>'C1 lossy AI'!$AQ$48:$AQ$48</f>
        <v>2.9114505480512531E-4</v>
      </c>
      <c r="I22" s="7">
        <f>'C1 lossy AI'!$AR$48:$AR$48</f>
        <v>7.1823784844338157E-4</v>
      </c>
    </row>
    <row r="23" spans="2:9" x14ac:dyDescent="0.3">
      <c r="B23" t="s">
        <v>11</v>
      </c>
      <c r="C23" s="60">
        <f>'C1 lossy AI'!AI50</f>
        <v>1.4470440377537637</v>
      </c>
      <c r="D23" s="61"/>
      <c r="E23" s="61"/>
      <c r="F23" s="61"/>
      <c r="G23" s="61"/>
      <c r="H23" s="61"/>
      <c r="I23" s="61"/>
    </row>
    <row r="24" spans="2:9" x14ac:dyDescent="0.3">
      <c r="B24" s="9" t="s">
        <v>12</v>
      </c>
      <c r="C24" s="62">
        <f>'C1 lossy AI'!AJ50</f>
        <v>1.4835596105881308</v>
      </c>
      <c r="D24" s="63"/>
      <c r="E24" s="63"/>
      <c r="F24" s="63"/>
      <c r="G24" s="63"/>
      <c r="H24" s="63"/>
      <c r="I24" s="63"/>
    </row>
    <row r="26" spans="2:9" s="1" customFormat="1" x14ac:dyDescent="0.3">
      <c r="B26" s="1" t="s">
        <v>23</v>
      </c>
    </row>
    <row r="28" spans="2:9" x14ac:dyDescent="0.3">
      <c r="B28" s="64" t="s">
        <v>24</v>
      </c>
      <c r="C28" s="65" t="s">
        <v>25</v>
      </c>
      <c r="D28" s="66"/>
      <c r="E28" s="66"/>
      <c r="F28" s="66"/>
      <c r="G28" s="66"/>
      <c r="H28" s="66"/>
      <c r="I28" s="66"/>
    </row>
    <row r="29" spans="2:9" x14ac:dyDescent="0.3">
      <c r="B29" s="61"/>
      <c r="C29" s="67" t="s">
        <v>15</v>
      </c>
      <c r="D29" s="61"/>
      <c r="E29" s="61"/>
      <c r="F29" s="61"/>
      <c r="G29" s="61"/>
      <c r="H29" s="68" t="s">
        <v>16</v>
      </c>
      <c r="I29" s="61"/>
    </row>
    <row r="30" spans="2:9" x14ac:dyDescent="0.3">
      <c r="B30" s="63"/>
      <c r="C30" s="4" t="s">
        <v>17</v>
      </c>
      <c r="D30" s="4" t="s">
        <v>18</v>
      </c>
      <c r="E30" s="4" t="s">
        <v>19</v>
      </c>
      <c r="F30" s="4" t="s">
        <v>20</v>
      </c>
      <c r="G30" s="4" t="s">
        <v>21</v>
      </c>
      <c r="H30" s="11" t="s">
        <v>22</v>
      </c>
      <c r="I30" s="11" t="s">
        <v>19</v>
      </c>
    </row>
    <row r="31" spans="2:9" x14ac:dyDescent="0.3">
      <c r="B31" t="s">
        <v>7</v>
      </c>
      <c r="C31" s="5">
        <f>'C2 lossy RA'!$AL$45:$AL$45</f>
        <v>6.8572386489662573E-4</v>
      </c>
      <c r="D31" s="5">
        <f>'C2 lossy RA'!$AM$45:$AM$45</f>
        <v>6.864351719741979E-4</v>
      </c>
      <c r="E31" s="5">
        <f>'C2 lossy RA'!$AN$45:$AN$45</f>
        <v>5.554102852145526E-4</v>
      </c>
      <c r="F31" s="5">
        <f>'C2 lossy RA'!$AO$45:$AO$45</f>
        <v>4.9301807667123665E-4</v>
      </c>
      <c r="G31" s="5">
        <f>'C2 lossy RA'!$AP$45:$AP$45</f>
        <v>5.0740889737976858E-4</v>
      </c>
      <c r="H31" s="5">
        <f>'C2 lossy RA'!$AQ$45:$AQ$45</f>
        <v>6.8697263678296761E-4</v>
      </c>
      <c r="I31" s="5">
        <f>'C2 lossy RA'!$AR$45:$AR$45</f>
        <v>6.2780100431802932E-4</v>
      </c>
    </row>
    <row r="32" spans="2:9" x14ac:dyDescent="0.3">
      <c r="B32" t="s">
        <v>8</v>
      </c>
      <c r="C32" s="5">
        <f>'C2 lossy RA'!$AL$46:$AL$46</f>
        <v>1.3755403118820286E-4</v>
      </c>
      <c r="D32" s="5">
        <f>'C2 lossy RA'!$AM$46:$AM$46</f>
        <v>1.3793078853374663E-4</v>
      </c>
      <c r="E32" s="5">
        <f>'C2 lossy RA'!$AN$46:$AN$46</f>
        <v>5.3798014850825471E-4</v>
      </c>
      <c r="F32" s="5">
        <f>'C2 lossy RA'!$AO$46:$AO$46</f>
        <v>4.885764235589285E-4</v>
      </c>
      <c r="G32" s="5">
        <f>'C2 lossy RA'!$AP$46:$AP$46</f>
        <v>4.9620044017084641E-4</v>
      </c>
      <c r="H32" s="5">
        <f>'C2 lossy RA'!$AQ$46:$AQ$46</f>
        <v>1.3621536418351177E-4</v>
      </c>
      <c r="I32" s="5">
        <f>'C2 lossy RA'!$AR$46:$AR$46</f>
        <v>3.5140839458358553E-4</v>
      </c>
    </row>
    <row r="33" spans="2:9" x14ac:dyDescent="0.3">
      <c r="B33" t="s">
        <v>9</v>
      </c>
      <c r="C33" s="5">
        <f>'C2 lossy RA'!$AL$47:$AL$47</f>
        <v>3.8703992902583417E-4</v>
      </c>
      <c r="D33" s="5">
        <f>'C2 lossy RA'!$AM$47:$AM$47</f>
        <v>3.8242125799581306E-4</v>
      </c>
      <c r="E33" s="5">
        <f>'C2 lossy RA'!$AN$47:$AN$47</f>
        <v>4.6789483724268832E-4</v>
      </c>
      <c r="F33" s="5">
        <f>'C2 lossy RA'!$AO$47:$AO$47</f>
        <v>5.1371212319933912E-4</v>
      </c>
      <c r="G33" s="5">
        <f>'C2 lossy RA'!$AP$47:$AP$47</f>
        <v>4.8409195840071195E-4</v>
      </c>
      <c r="H33" s="5">
        <f>'C2 lossy RA'!$AQ$47:$AQ$47</f>
        <v>3.7124809062238917E-4</v>
      </c>
      <c r="I33" s="5">
        <f>'C2 lossy RA'!$AR$47:$AR$47</f>
        <v>4.1737551338977275E-4</v>
      </c>
    </row>
    <row r="34" spans="2:9" x14ac:dyDescent="0.3">
      <c r="B34" s="6" t="s">
        <v>10</v>
      </c>
      <c r="C34" s="7">
        <f>'C2 lossy RA'!$AL$48:$AL$48</f>
        <v>3.9933943853412424E-4</v>
      </c>
      <c r="D34" s="7">
        <f>'C2 lossy RA'!$AM$48:$AM$48</f>
        <v>3.9730211912489266E-4</v>
      </c>
      <c r="E34" s="7">
        <f>'C2 lossy RA'!$AN$48:$AN$48</f>
        <v>5.0729502705204599E-4</v>
      </c>
      <c r="F34" s="7">
        <f>'C2 lossy RA'!$AO$48:$AO$48</f>
        <v>5.0225468665721085E-4</v>
      </c>
      <c r="G34" s="7">
        <f>'C2 lossy RA'!$AP$48:$AP$48</f>
        <v>4.9294831358800972E-4</v>
      </c>
      <c r="H34" s="7">
        <f>'C2 lossy RA'!$AQ$48:$AQ$48</f>
        <v>3.9142104555281443E-4</v>
      </c>
      <c r="I34" s="7">
        <f>'C2 lossy RA'!$AR$48:$AR$48</f>
        <v>4.5349010642029008E-4</v>
      </c>
    </row>
    <row r="35" spans="2:9" x14ac:dyDescent="0.3">
      <c r="B35" t="s">
        <v>11</v>
      </c>
      <c r="C35" s="60">
        <f>'C2 lossy RA'!AI50</f>
        <v>1.5184696921054652</v>
      </c>
      <c r="D35" s="61"/>
      <c r="E35" s="61"/>
      <c r="F35" s="61"/>
      <c r="G35" s="61"/>
      <c r="H35" s="61"/>
      <c r="I35" s="61"/>
    </row>
    <row r="36" spans="2:9" x14ac:dyDescent="0.3">
      <c r="B36" s="9" t="s">
        <v>12</v>
      </c>
      <c r="C36" s="62">
        <f>'C2 lossy RA'!AJ50</f>
        <v>1.8280999940924769</v>
      </c>
      <c r="D36" s="63"/>
      <c r="E36" s="63"/>
      <c r="F36" s="63"/>
      <c r="G36" s="63"/>
      <c r="H36" s="63"/>
      <c r="I36" s="63"/>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9"/>
  <sheetViews>
    <sheetView zoomScale="55" zoomScaleNormal="55" workbookViewId="0">
      <selection activeCell="N3" sqref="N3"/>
    </sheetView>
  </sheetViews>
  <sheetFormatPr defaultColWidth="9.109375" defaultRowHeight="14.4" x14ac:dyDescent="0.3"/>
  <cols>
    <col min="1" max="1" width="12.6640625" customWidth="1"/>
    <col min="2" max="2" width="24.6640625" customWidth="1"/>
    <col min="4" max="4" width="24.6640625" customWidth="1"/>
    <col min="9" max="9" width="16.6640625" customWidth="1"/>
  </cols>
  <sheetData>
    <row r="1" spans="1:14" x14ac:dyDescent="0.3">
      <c r="A1" t="s">
        <v>26</v>
      </c>
      <c r="B1" s="12" t="str">
        <f>M1</f>
        <v>C1 lossy AI</v>
      </c>
      <c r="C1" t="s">
        <v>27</v>
      </c>
      <c r="I1" t="s">
        <v>28</v>
      </c>
      <c r="M1" t="s">
        <v>29</v>
      </c>
      <c r="N1" t="s">
        <v>30</v>
      </c>
    </row>
    <row r="2" spans="1:14" x14ac:dyDescent="0.3">
      <c r="A2" t="s">
        <v>31</v>
      </c>
      <c r="B2" s="12" t="s">
        <v>32</v>
      </c>
      <c r="C2" t="s">
        <v>33</v>
      </c>
      <c r="I2" t="s">
        <v>34</v>
      </c>
      <c r="J2" t="s">
        <v>35</v>
      </c>
      <c r="M2" t="s">
        <v>36</v>
      </c>
      <c r="N2" t="s">
        <v>37</v>
      </c>
    </row>
    <row r="3" spans="1:14" x14ac:dyDescent="0.3">
      <c r="I3" t="s">
        <v>38</v>
      </c>
      <c r="J3" t="s">
        <v>39</v>
      </c>
      <c r="M3" t="s">
        <v>40</v>
      </c>
      <c r="N3" t="s">
        <v>40</v>
      </c>
    </row>
    <row r="4" spans="1:14" x14ac:dyDescent="0.3">
      <c r="A4" t="s">
        <v>41</v>
      </c>
      <c r="B4" s="12" t="s">
        <v>42</v>
      </c>
      <c r="C4" t="s">
        <v>43</v>
      </c>
      <c r="D4" s="12" t="s">
        <v>44</v>
      </c>
      <c r="E4" t="s">
        <v>45</v>
      </c>
      <c r="I4" t="s">
        <v>46</v>
      </c>
      <c r="J4" t="s">
        <v>47</v>
      </c>
      <c r="M4" t="s">
        <v>48</v>
      </c>
      <c r="N4" t="s">
        <v>48</v>
      </c>
    </row>
    <row r="5" spans="1:14" x14ac:dyDescent="0.3">
      <c r="A5" t="s">
        <v>41</v>
      </c>
      <c r="B5" s="12" t="s">
        <v>42</v>
      </c>
      <c r="C5" t="s">
        <v>43</v>
      </c>
      <c r="D5" s="12" t="s">
        <v>49</v>
      </c>
      <c r="E5" t="s">
        <v>50</v>
      </c>
      <c r="I5" t="s">
        <v>51</v>
      </c>
      <c r="J5" t="s">
        <v>52</v>
      </c>
      <c r="M5" t="s">
        <v>53</v>
      </c>
      <c r="N5" t="s">
        <v>53</v>
      </c>
    </row>
    <row r="6" spans="1:14" x14ac:dyDescent="0.3">
      <c r="A6" t="s">
        <v>41</v>
      </c>
      <c r="B6" s="12" t="s">
        <v>42</v>
      </c>
      <c r="C6" t="s">
        <v>43</v>
      </c>
      <c r="D6" s="12" t="s">
        <v>54</v>
      </c>
      <c r="E6" t="s">
        <v>55</v>
      </c>
      <c r="I6" t="s">
        <v>56</v>
      </c>
      <c r="J6" t="s">
        <v>57</v>
      </c>
      <c r="M6" t="s">
        <v>58</v>
      </c>
      <c r="N6" t="s">
        <v>58</v>
      </c>
    </row>
    <row r="7" spans="1:14" x14ac:dyDescent="0.3">
      <c r="A7" t="s">
        <v>41</v>
      </c>
      <c r="B7" s="12" t="s">
        <v>42</v>
      </c>
      <c r="C7" t="s">
        <v>43</v>
      </c>
      <c r="D7" s="12" t="s">
        <v>59</v>
      </c>
      <c r="E7" t="s">
        <v>60</v>
      </c>
      <c r="I7" t="s">
        <v>61</v>
      </c>
      <c r="J7" t="s">
        <v>62</v>
      </c>
      <c r="M7" t="s">
        <v>63</v>
      </c>
      <c r="N7" t="s">
        <v>63</v>
      </c>
    </row>
    <row r="8" spans="1:14" x14ac:dyDescent="0.3">
      <c r="A8" t="s">
        <v>41</v>
      </c>
      <c r="B8" s="12" t="s">
        <v>42</v>
      </c>
      <c r="C8" t="s">
        <v>43</v>
      </c>
      <c r="D8" s="12" t="s">
        <v>64</v>
      </c>
      <c r="E8" t="s">
        <v>65</v>
      </c>
      <c r="I8" t="s">
        <v>66</v>
      </c>
      <c r="J8" t="s">
        <v>67</v>
      </c>
      <c r="M8" t="s">
        <v>68</v>
      </c>
      <c r="N8" t="s">
        <v>68</v>
      </c>
    </row>
    <row r="9" spans="1:14" x14ac:dyDescent="0.3">
      <c r="A9" t="s">
        <v>41</v>
      </c>
      <c r="B9" s="12" t="s">
        <v>42</v>
      </c>
      <c r="C9" t="s">
        <v>43</v>
      </c>
      <c r="D9" s="12" t="s">
        <v>69</v>
      </c>
      <c r="E9" t="s">
        <v>70</v>
      </c>
      <c r="I9" t="s">
        <v>71</v>
      </c>
      <c r="J9" t="s">
        <v>72</v>
      </c>
      <c r="M9" t="s">
        <v>32</v>
      </c>
      <c r="N9" t="s">
        <v>32</v>
      </c>
    </row>
    <row r="10" spans="1:14" x14ac:dyDescent="0.3">
      <c r="A10" t="s">
        <v>41</v>
      </c>
      <c r="B10" s="12" t="s">
        <v>42</v>
      </c>
      <c r="C10" t="s">
        <v>43</v>
      </c>
      <c r="D10" s="12" t="s">
        <v>73</v>
      </c>
      <c r="E10" t="s">
        <v>74</v>
      </c>
      <c r="I10" t="s">
        <v>75</v>
      </c>
      <c r="J10" t="s">
        <v>76</v>
      </c>
      <c r="M10" t="s">
        <v>77</v>
      </c>
      <c r="N10" t="s">
        <v>77</v>
      </c>
    </row>
    <row r="11" spans="1:14" x14ac:dyDescent="0.3">
      <c r="I11" t="s">
        <v>54</v>
      </c>
      <c r="J11" t="s">
        <v>78</v>
      </c>
    </row>
    <row r="12" spans="1:14" x14ac:dyDescent="0.3">
      <c r="I12" t="s">
        <v>73</v>
      </c>
      <c r="J12" t="s">
        <v>79</v>
      </c>
    </row>
    <row r="13" spans="1:14" x14ac:dyDescent="0.3">
      <c r="I13" t="s">
        <v>80</v>
      </c>
      <c r="J13" t="s">
        <v>81</v>
      </c>
    </row>
    <row r="14" spans="1:14" x14ac:dyDescent="0.3">
      <c r="I14" t="s">
        <v>82</v>
      </c>
      <c r="J14" t="s">
        <v>83</v>
      </c>
    </row>
    <row r="15" spans="1:14" x14ac:dyDescent="0.3">
      <c r="I15" t="s">
        <v>84</v>
      </c>
      <c r="J15" t="s">
        <v>85</v>
      </c>
    </row>
    <row r="16" spans="1:14" x14ac:dyDescent="0.3">
      <c r="I16" t="s">
        <v>86</v>
      </c>
      <c r="J16" t="s">
        <v>87</v>
      </c>
    </row>
    <row r="17" spans="9:10" x14ac:dyDescent="0.3">
      <c r="I17" t="s">
        <v>64</v>
      </c>
      <c r="J17" t="s">
        <v>88</v>
      </c>
    </row>
    <row r="18" spans="9:10" x14ac:dyDescent="0.3">
      <c r="I18" t="s">
        <v>69</v>
      </c>
      <c r="J18" t="s">
        <v>89</v>
      </c>
    </row>
    <row r="19" spans="9:10" x14ac:dyDescent="0.3">
      <c r="I19" t="s">
        <v>44</v>
      </c>
      <c r="J19" t="s">
        <v>90</v>
      </c>
    </row>
    <row r="20" spans="9:10" x14ac:dyDescent="0.3">
      <c r="I20" t="s">
        <v>49</v>
      </c>
      <c r="J20" t="s">
        <v>91</v>
      </c>
    </row>
    <row r="21" spans="9:10" x14ac:dyDescent="0.3">
      <c r="I21" t="s">
        <v>59</v>
      </c>
      <c r="J21" t="s">
        <v>92</v>
      </c>
    </row>
    <row r="22" spans="9:10" x14ac:dyDescent="0.3">
      <c r="I22" t="s">
        <v>93</v>
      </c>
      <c r="J22" t="s">
        <v>94</v>
      </c>
    </row>
    <row r="23" spans="9:10" x14ac:dyDescent="0.3">
      <c r="I23" t="s">
        <v>95</v>
      </c>
      <c r="J23" t="s">
        <v>96</v>
      </c>
    </row>
    <row r="24" spans="9:10" x14ac:dyDescent="0.3">
      <c r="I24" t="s">
        <v>97</v>
      </c>
      <c r="J24" t="s">
        <v>98</v>
      </c>
    </row>
    <row r="25" spans="9:10" x14ac:dyDescent="0.3">
      <c r="I25" t="s">
        <v>99</v>
      </c>
      <c r="J25" t="s">
        <v>100</v>
      </c>
    </row>
    <row r="26" spans="9:10" x14ac:dyDescent="0.3">
      <c r="I26" t="s">
        <v>101</v>
      </c>
      <c r="J26" t="s">
        <v>102</v>
      </c>
    </row>
    <row r="27" spans="9:10" x14ac:dyDescent="0.3">
      <c r="I27" t="s">
        <v>103</v>
      </c>
      <c r="J27" t="s">
        <v>104</v>
      </c>
    </row>
    <row r="28" spans="9:10" x14ac:dyDescent="0.3">
      <c r="I28" t="s">
        <v>105</v>
      </c>
      <c r="J28" t="s">
        <v>106</v>
      </c>
    </row>
    <row r="29" spans="9:10" x14ac:dyDescent="0.3">
      <c r="I29" t="s">
        <v>107</v>
      </c>
      <c r="J29" t="s">
        <v>108</v>
      </c>
    </row>
    <row r="30" spans="9:10" x14ac:dyDescent="0.3">
      <c r="I30" t="s">
        <v>109</v>
      </c>
      <c r="J30" t="s">
        <v>110</v>
      </c>
    </row>
    <row r="31" spans="9:10" x14ac:dyDescent="0.3">
      <c r="I31" t="s">
        <v>111</v>
      </c>
      <c r="J31" t="s">
        <v>112</v>
      </c>
    </row>
    <row r="32" spans="9:10" x14ac:dyDescent="0.3">
      <c r="I32" t="s">
        <v>113</v>
      </c>
      <c r="J32" t="s">
        <v>114</v>
      </c>
    </row>
    <row r="33" spans="9:10" x14ac:dyDescent="0.3">
      <c r="I33" t="s">
        <v>115</v>
      </c>
      <c r="J33" t="s">
        <v>116</v>
      </c>
    </row>
    <row r="34" spans="9:10" x14ac:dyDescent="0.3">
      <c r="I34" t="s">
        <v>117</v>
      </c>
      <c r="J34" t="s">
        <v>118</v>
      </c>
    </row>
    <row r="35" spans="9:10" x14ac:dyDescent="0.3">
      <c r="I35" t="s">
        <v>119</v>
      </c>
      <c r="J35" t="s">
        <v>120</v>
      </c>
    </row>
    <row r="36" spans="9:10" x14ac:dyDescent="0.3">
      <c r="I36" t="s">
        <v>121</v>
      </c>
      <c r="J36" t="s">
        <v>122</v>
      </c>
    </row>
    <row r="37" spans="9:10" x14ac:dyDescent="0.3">
      <c r="I37" t="s">
        <v>123</v>
      </c>
      <c r="J37" t="s">
        <v>124</v>
      </c>
    </row>
    <row r="38" spans="9:10" x14ac:dyDescent="0.3">
      <c r="I38" t="s">
        <v>125</v>
      </c>
      <c r="J38" t="s">
        <v>126</v>
      </c>
    </row>
    <row r="39" spans="9:10" x14ac:dyDescent="0.3">
      <c r="I39" t="s">
        <v>127</v>
      </c>
      <c r="J39" t="s">
        <v>128</v>
      </c>
    </row>
    <row r="40" spans="9:10" x14ac:dyDescent="0.3">
      <c r="I40" t="s">
        <v>42</v>
      </c>
      <c r="J40" t="s">
        <v>129</v>
      </c>
    </row>
    <row r="41" spans="9:10" x14ac:dyDescent="0.3">
      <c r="I41" t="s">
        <v>130</v>
      </c>
      <c r="J41" t="s">
        <v>131</v>
      </c>
    </row>
    <row r="42" spans="9:10" x14ac:dyDescent="0.3">
      <c r="I42" t="s">
        <v>132</v>
      </c>
      <c r="J42" t="s">
        <v>133</v>
      </c>
    </row>
    <row r="43" spans="9:10" x14ac:dyDescent="0.3">
      <c r="I43" t="s">
        <v>134</v>
      </c>
      <c r="J43" t="s">
        <v>135</v>
      </c>
    </row>
    <row r="44" spans="9:10" x14ac:dyDescent="0.3">
      <c r="I44" t="s">
        <v>136</v>
      </c>
      <c r="J44" t="s">
        <v>137</v>
      </c>
    </row>
    <row r="45" spans="9:10" x14ac:dyDescent="0.3">
      <c r="I45" t="s">
        <v>138</v>
      </c>
      <c r="J45" t="s">
        <v>139</v>
      </c>
    </row>
    <row r="46" spans="9:10" x14ac:dyDescent="0.3">
      <c r="I46" t="s">
        <v>140</v>
      </c>
      <c r="J46" t="s">
        <v>141</v>
      </c>
    </row>
    <row r="47" spans="9:10" x14ac:dyDescent="0.3">
      <c r="I47" t="s">
        <v>142</v>
      </c>
      <c r="J47" t="s">
        <v>143</v>
      </c>
    </row>
    <row r="48" spans="9:10" x14ac:dyDescent="0.3">
      <c r="I48" t="s">
        <v>144</v>
      </c>
      <c r="J48" t="s">
        <v>145</v>
      </c>
    </row>
    <row r="49" spans="9:10" x14ac:dyDescent="0.3">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10 D4:D1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T35"/>
  <sheetViews>
    <sheetView workbookViewId="0">
      <pane xSplit="2" ySplit="4" topLeftCell="C5" activePane="bottomRight" state="frozen"/>
      <selection pane="topRight" activeCell="C1" sqref="C1"/>
      <selection pane="bottomLeft" activeCell="A5" sqref="A5"/>
      <selection pane="bottomRight" activeCell="Y27" sqref="Y27"/>
    </sheetView>
  </sheetViews>
  <sheetFormatPr defaultColWidth="9.109375" defaultRowHeight="14.4" x14ac:dyDescent="0.3"/>
  <cols>
    <col min="2" max="2" width="24.6640625" customWidth="1"/>
    <col min="3" max="4" width="10.6640625" customWidth="1"/>
    <col min="7" max="7" width="1.6640625" customWidth="1"/>
    <col min="9" max="9" width="10.6640625" customWidth="1"/>
    <col min="10" max="10" width="12.6640625" customWidth="1"/>
    <col min="13" max="13" width="1.6640625" customWidth="1"/>
    <col min="15" max="15" width="10.6640625" customWidth="1"/>
    <col min="16" max="16" width="12.6640625" customWidth="1"/>
    <col min="19" max="19" width="1.6640625" customWidth="1"/>
    <col min="21" max="21" width="1.6640625" customWidth="1"/>
  </cols>
  <sheetData>
    <row r="1" spans="1:20" x14ac:dyDescent="0.3">
      <c r="A1" s="73" t="s">
        <v>148</v>
      </c>
      <c r="B1" s="61"/>
      <c r="C1" s="61"/>
      <c r="D1" s="61"/>
      <c r="E1" s="61"/>
      <c r="F1" s="61"/>
      <c r="H1" s="69" t="s">
        <v>149</v>
      </c>
      <c r="I1" s="61"/>
      <c r="J1" s="61"/>
      <c r="K1" s="61"/>
      <c r="L1" s="61"/>
      <c r="N1" s="70" t="s">
        <v>150</v>
      </c>
      <c r="O1" s="61"/>
      <c r="P1" s="61"/>
      <c r="Q1" s="61"/>
      <c r="R1" s="61"/>
    </row>
    <row r="2" spans="1:20" ht="30" customHeight="1" x14ac:dyDescent="0.3">
      <c r="A2" s="71" t="s">
        <v>151</v>
      </c>
      <c r="B2" s="72" t="s">
        <v>152</v>
      </c>
      <c r="C2" s="71" t="s">
        <v>153</v>
      </c>
      <c r="D2" s="72" t="s">
        <v>154</v>
      </c>
      <c r="E2" s="71" t="s">
        <v>155</v>
      </c>
      <c r="F2" s="72" t="s">
        <v>156</v>
      </c>
      <c r="H2" s="71" t="s">
        <v>129</v>
      </c>
      <c r="I2" s="72" t="s">
        <v>133</v>
      </c>
      <c r="J2" s="71" t="s">
        <v>122</v>
      </c>
      <c r="K2" s="72" t="s">
        <v>124</v>
      </c>
      <c r="L2" s="71" t="s">
        <v>104</v>
      </c>
      <c r="N2" s="72" t="s">
        <v>129</v>
      </c>
      <c r="O2" s="71" t="s">
        <v>133</v>
      </c>
      <c r="P2" s="72" t="s">
        <v>122</v>
      </c>
      <c r="Q2" s="71" t="s">
        <v>124</v>
      </c>
      <c r="R2" s="72" t="s">
        <v>104</v>
      </c>
      <c r="T2" s="71" t="s">
        <v>157</v>
      </c>
    </row>
    <row r="3" spans="1:20" x14ac:dyDescent="0.3">
      <c r="A3" s="63"/>
      <c r="B3" s="63"/>
      <c r="C3" s="63"/>
      <c r="D3" s="63"/>
      <c r="E3" s="63"/>
      <c r="F3" s="63"/>
      <c r="H3" s="63"/>
      <c r="I3" s="63"/>
      <c r="J3" s="63"/>
      <c r="K3" s="63"/>
      <c r="L3" s="63"/>
      <c r="N3" s="63"/>
      <c r="O3" s="63"/>
      <c r="P3" s="63"/>
      <c r="Q3" s="63"/>
      <c r="R3" s="63"/>
      <c r="T3" s="63"/>
    </row>
    <row r="4" spans="1:20" ht="48" hidden="1" customHeight="1" x14ac:dyDescent="0.3">
      <c r="A4" s="15" t="s">
        <v>158</v>
      </c>
      <c r="B4" s="16" t="s">
        <v>159</v>
      </c>
      <c r="C4" s="15" t="s">
        <v>160</v>
      </c>
      <c r="D4" s="16" t="s">
        <v>161</v>
      </c>
      <c r="E4" s="15" t="s">
        <v>162</v>
      </c>
      <c r="F4" s="16" t="s">
        <v>163</v>
      </c>
      <c r="H4" s="15" t="s">
        <v>164</v>
      </c>
      <c r="I4" s="16" t="s">
        <v>165</v>
      </c>
      <c r="J4" s="15" t="s">
        <v>166</v>
      </c>
      <c r="K4" s="16" t="s">
        <v>167</v>
      </c>
      <c r="L4" s="15" t="s">
        <v>168</v>
      </c>
      <c r="N4" s="16" t="s">
        <v>169</v>
      </c>
      <c r="O4" s="15" t="s">
        <v>170</v>
      </c>
      <c r="P4" s="16" t="s">
        <v>171</v>
      </c>
      <c r="Q4" s="15" t="s">
        <v>172</v>
      </c>
      <c r="R4" s="16" t="s">
        <v>173</v>
      </c>
      <c r="T4" s="15" t="s">
        <v>174</v>
      </c>
    </row>
    <row r="5" spans="1:20" collapsed="1" x14ac:dyDescent="0.3">
      <c r="A5" s="17" t="s">
        <v>175</v>
      </c>
      <c r="B5" s="17" t="s">
        <v>40</v>
      </c>
      <c r="C5" s="17">
        <v>11997440</v>
      </c>
      <c r="D5" s="18">
        <v>10</v>
      </c>
      <c r="E5" s="19">
        <v>32</v>
      </c>
      <c r="F5" s="19">
        <v>30</v>
      </c>
      <c r="H5" s="20">
        <f t="shared" ref="H5:H12" si="0">IF(OR(ISBLANK(J5),ISBLANK(F5)),"·",J5*F5/E5/1000000)</f>
        <v>882.33953250000002</v>
      </c>
      <c r="I5" s="21">
        <f t="shared" ref="I5:I12" si="1">IF(ISBLANK(J5),"·",J5/C5)</f>
        <v>78.446916008748531</v>
      </c>
      <c r="J5" s="22">
        <v>941162168</v>
      </c>
      <c r="K5" s="23">
        <v>2599</v>
      </c>
      <c r="L5" s="23">
        <v>37.086752599999997</v>
      </c>
      <c r="N5" s="20">
        <f t="shared" ref="N5:N12" si="2">IF(OR(ISBLANK(P5),ISBLANK(F5)),"·",P5*F5/E5/1000000)</f>
        <v>882.34208999999998</v>
      </c>
      <c r="O5" s="21">
        <f t="shared" ref="O5:O12" si="3">IF(ISBLANK(P5),"·",P5/C5)</f>
        <v>78.447143390589986</v>
      </c>
      <c r="P5" s="22">
        <v>941164896</v>
      </c>
      <c r="Q5" s="23">
        <v>2965.1521189999999</v>
      </c>
      <c r="R5" s="23">
        <v>39.322944</v>
      </c>
      <c r="T5" s="24">
        <f t="shared" ref="T5:T16" si="4">O5/I5</f>
        <v>1.0000028985440477</v>
      </c>
    </row>
    <row r="6" spans="1:20" collapsed="1" x14ac:dyDescent="0.3">
      <c r="A6" s="25"/>
      <c r="B6" s="25" t="s">
        <v>48</v>
      </c>
      <c r="C6" s="25">
        <v>9000000</v>
      </c>
      <c r="D6" s="26">
        <v>10</v>
      </c>
      <c r="E6" s="27">
        <v>32</v>
      </c>
      <c r="F6" s="27">
        <v>30</v>
      </c>
      <c r="H6" s="28">
        <f t="shared" si="0"/>
        <v>653.95812750000005</v>
      </c>
      <c r="I6" s="29">
        <f t="shared" si="1"/>
        <v>77.506148444444449</v>
      </c>
      <c r="J6" s="30">
        <v>697555336</v>
      </c>
      <c r="K6" s="31">
        <v>2433</v>
      </c>
      <c r="L6" s="31">
        <v>31.4880104</v>
      </c>
      <c r="N6" s="28">
        <f t="shared" si="2"/>
        <v>653.96068500000001</v>
      </c>
      <c r="O6" s="29">
        <f t="shared" si="3"/>
        <v>77.506451555555557</v>
      </c>
      <c r="P6" s="30">
        <v>697558064</v>
      </c>
      <c r="Q6" s="31">
        <v>2906.2275070000001</v>
      </c>
      <c r="R6" s="31">
        <v>35.275841999999997</v>
      </c>
      <c r="T6" s="32">
        <f t="shared" si="4"/>
        <v>1.0000039108008485</v>
      </c>
    </row>
    <row r="7" spans="1:20" collapsed="1" x14ac:dyDescent="0.3">
      <c r="A7" s="17" t="s">
        <v>176</v>
      </c>
      <c r="B7" s="17" t="s">
        <v>53</v>
      </c>
      <c r="C7" s="17">
        <v>11842002</v>
      </c>
      <c r="D7" s="18">
        <v>12</v>
      </c>
      <c r="E7" s="19">
        <v>32</v>
      </c>
      <c r="F7" s="19">
        <v>30</v>
      </c>
      <c r="H7" s="20">
        <f t="shared" si="0"/>
        <v>608.64712499999996</v>
      </c>
      <c r="I7" s="21">
        <f t="shared" si="1"/>
        <v>54.823804285795596</v>
      </c>
      <c r="J7" s="22">
        <v>649223600</v>
      </c>
      <c r="K7" s="23">
        <v>1921</v>
      </c>
      <c r="L7" s="23">
        <v>27.2412238</v>
      </c>
      <c r="N7" s="20">
        <f t="shared" si="2"/>
        <v>608.64993749999996</v>
      </c>
      <c r="O7" s="21">
        <f t="shared" si="3"/>
        <v>54.824057621338014</v>
      </c>
      <c r="P7" s="22">
        <v>649226600</v>
      </c>
      <c r="Q7" s="23">
        <v>2607.487693</v>
      </c>
      <c r="R7" s="23">
        <v>32.728745000000004</v>
      </c>
      <c r="T7" s="24">
        <f t="shared" si="4"/>
        <v>1.0000046209041076</v>
      </c>
    </row>
    <row r="8" spans="1:20" collapsed="1" x14ac:dyDescent="0.3">
      <c r="A8" s="25"/>
      <c r="B8" s="25" t="s">
        <v>58</v>
      </c>
      <c r="C8" s="25">
        <v>11812090</v>
      </c>
      <c r="D8" s="26">
        <v>12</v>
      </c>
      <c r="E8" s="27">
        <v>32</v>
      </c>
      <c r="F8" s="27">
        <v>50</v>
      </c>
      <c r="H8" s="28">
        <f t="shared" si="0"/>
        <v>993.80297499999995</v>
      </c>
      <c r="I8" s="29">
        <f t="shared" si="1"/>
        <v>53.846008962004184</v>
      </c>
      <c r="J8" s="30">
        <v>636033904</v>
      </c>
      <c r="K8" s="31">
        <v>1897</v>
      </c>
      <c r="L8" s="31">
        <v>26.829820300000002</v>
      </c>
      <c r="N8" s="28">
        <f t="shared" si="2"/>
        <v>993.80766249999999</v>
      </c>
      <c r="O8" s="29">
        <f t="shared" si="3"/>
        <v>53.846262939073441</v>
      </c>
      <c r="P8" s="30">
        <v>636036904</v>
      </c>
      <c r="Q8" s="31">
        <v>2540.8522899999998</v>
      </c>
      <c r="R8" s="31">
        <v>34.641548</v>
      </c>
      <c r="T8" s="32">
        <f t="shared" si="4"/>
        <v>1.0000047167296917</v>
      </c>
    </row>
    <row r="9" spans="1:20" collapsed="1" x14ac:dyDescent="0.3">
      <c r="A9" s="17" t="s">
        <v>177</v>
      </c>
      <c r="B9" s="17" t="s">
        <v>63</v>
      </c>
      <c r="C9" s="17">
        <v>12000000</v>
      </c>
      <c r="D9" s="18">
        <v>12</v>
      </c>
      <c r="E9" s="19">
        <v>32</v>
      </c>
      <c r="F9" s="19">
        <v>30</v>
      </c>
      <c r="H9" s="20">
        <f t="shared" si="0"/>
        <v>2943.1122074999998</v>
      </c>
      <c r="I9" s="21">
        <f t="shared" si="1"/>
        <v>261.60997400000002</v>
      </c>
      <c r="J9" s="22">
        <v>3139319688</v>
      </c>
      <c r="K9" s="23">
        <v>9465</v>
      </c>
      <c r="L9" s="23">
        <v>109.443527</v>
      </c>
      <c r="N9" s="20">
        <f t="shared" si="2"/>
        <v>2943.1150349999998</v>
      </c>
      <c r="O9" s="21">
        <f t="shared" si="3"/>
        <v>261.61022533333335</v>
      </c>
      <c r="P9" s="22">
        <v>3139322704</v>
      </c>
      <c r="Q9" s="23">
        <v>13805.552452</v>
      </c>
      <c r="R9" s="23">
        <v>203.060338</v>
      </c>
      <c r="T9" s="24">
        <f t="shared" si="4"/>
        <v>1.0000009607177032</v>
      </c>
    </row>
    <row r="10" spans="1:20" collapsed="1" x14ac:dyDescent="0.3">
      <c r="A10" s="33"/>
      <c r="B10" s="33" t="s">
        <v>68</v>
      </c>
      <c r="C10" s="33">
        <v>5997654</v>
      </c>
      <c r="D10" s="34">
        <v>12</v>
      </c>
      <c r="E10" s="35">
        <v>32</v>
      </c>
      <c r="F10" s="35">
        <v>30</v>
      </c>
      <c r="H10" s="36">
        <f t="shared" si="0"/>
        <v>2401.1909700000001</v>
      </c>
      <c r="I10" s="37">
        <f t="shared" si="1"/>
        <v>427.04536940610444</v>
      </c>
      <c r="J10" s="38">
        <v>2561270368</v>
      </c>
      <c r="K10" s="39">
        <v>10928</v>
      </c>
      <c r="L10" s="39">
        <v>110.95763599999999</v>
      </c>
      <c r="N10" s="36">
        <f t="shared" si="2"/>
        <v>2401.1937975000001</v>
      </c>
      <c r="O10" s="37">
        <f t="shared" si="3"/>
        <v>427.04587226939066</v>
      </c>
      <c r="P10" s="38">
        <v>2561273384</v>
      </c>
      <c r="Q10" s="39">
        <v>16819.742958999999</v>
      </c>
      <c r="R10" s="39">
        <v>267.25314300000002</v>
      </c>
      <c r="T10" s="40">
        <f t="shared" si="4"/>
        <v>1.0000011775406601</v>
      </c>
    </row>
    <row r="11" spans="1:20" collapsed="1" x14ac:dyDescent="0.3">
      <c r="A11" s="17"/>
      <c r="B11" s="17" t="s">
        <v>32</v>
      </c>
      <c r="C11" s="17">
        <v>9000000</v>
      </c>
      <c r="D11" s="18">
        <v>12</v>
      </c>
      <c r="E11" s="19">
        <v>32</v>
      </c>
      <c r="F11" s="19">
        <v>30</v>
      </c>
      <c r="H11" s="20">
        <f t="shared" si="0"/>
        <v>3592.8208725</v>
      </c>
      <c r="I11" s="21">
        <f t="shared" si="1"/>
        <v>425.8158071111111</v>
      </c>
      <c r="J11" s="22">
        <v>3832342264</v>
      </c>
      <c r="K11" s="23">
        <v>8232</v>
      </c>
      <c r="L11" s="23">
        <v>108.12315</v>
      </c>
      <c r="N11" s="20">
        <f t="shared" si="2"/>
        <v>3592.823445</v>
      </c>
      <c r="O11" s="21">
        <f t="shared" si="3"/>
        <v>425.81611199999998</v>
      </c>
      <c r="P11" s="22">
        <v>3832345008</v>
      </c>
      <c r="Q11" s="23">
        <v>10863.087167</v>
      </c>
      <c r="R11" s="23">
        <v>230.78549100000001</v>
      </c>
      <c r="T11" s="24">
        <f t="shared" si="4"/>
        <v>1.0000007160112043</v>
      </c>
    </row>
    <row r="12" spans="1:20" collapsed="1" x14ac:dyDescent="0.3">
      <c r="A12" s="25"/>
      <c r="B12" s="25" t="s">
        <v>77</v>
      </c>
      <c r="C12" s="25">
        <v>9000000</v>
      </c>
      <c r="D12" s="26">
        <v>12</v>
      </c>
      <c r="E12" s="27">
        <v>32</v>
      </c>
      <c r="F12" s="27">
        <v>30</v>
      </c>
      <c r="H12" s="28">
        <f t="shared" si="0"/>
        <v>2606.4758474999999</v>
      </c>
      <c r="I12" s="29">
        <f t="shared" si="1"/>
        <v>308.91565600000001</v>
      </c>
      <c r="J12" s="30">
        <v>2780240904</v>
      </c>
      <c r="K12" s="31">
        <v>7844</v>
      </c>
      <c r="L12" s="31">
        <v>94.918262900000002</v>
      </c>
      <c r="N12" s="28">
        <f t="shared" si="2"/>
        <v>2606.4784199999999</v>
      </c>
      <c r="O12" s="29">
        <f t="shared" si="3"/>
        <v>308.91596088888889</v>
      </c>
      <c r="P12" s="30">
        <v>2780243648</v>
      </c>
      <c r="Q12" s="31">
        <v>9821.9931479999996</v>
      </c>
      <c r="R12" s="31">
        <v>208.26442399999999</v>
      </c>
      <c r="T12" s="32">
        <f t="shared" si="4"/>
        <v>1.0000009869648332</v>
      </c>
    </row>
    <row r="13" spans="1:20" x14ac:dyDescent="0.3">
      <c r="B13" s="41" t="s">
        <v>7</v>
      </c>
      <c r="I13" s="42">
        <f>AVERAGE(I5:I6)</f>
        <v>77.97653222659649</v>
      </c>
      <c r="O13" s="42">
        <f>AVERAGE(O5:O6)</f>
        <v>77.976797473072764</v>
      </c>
      <c r="T13" s="5">
        <f t="shared" si="4"/>
        <v>1.0000034016192911</v>
      </c>
    </row>
    <row r="14" spans="1:20" x14ac:dyDescent="0.3">
      <c r="B14" s="41" t="s">
        <v>8</v>
      </c>
      <c r="I14" s="42">
        <f>AVERAGE(I7:I8)</f>
        <v>54.33490662389989</v>
      </c>
      <c r="O14" s="42">
        <f>AVERAGE(O7:O8)</f>
        <v>54.335160280205727</v>
      </c>
      <c r="T14" s="5">
        <f t="shared" si="4"/>
        <v>1.0000046683857873</v>
      </c>
    </row>
    <row r="15" spans="1:20" x14ac:dyDescent="0.3">
      <c r="B15" s="41" t="s">
        <v>9</v>
      </c>
      <c r="I15" s="42">
        <f>AVERAGE(I9:I12)</f>
        <v>355.84670162930388</v>
      </c>
      <c r="O15" s="42">
        <f>AVERAGE(O9:O12)</f>
        <v>355.84704262290325</v>
      </c>
      <c r="T15" s="5">
        <f t="shared" si="4"/>
        <v>1.0000009582598288</v>
      </c>
    </row>
    <row r="16" spans="1:20" x14ac:dyDescent="0.3">
      <c r="B16" s="41" t="s">
        <v>10</v>
      </c>
      <c r="I16" s="42">
        <f>AVERAGE(I5:I12)</f>
        <v>211.00121052727604</v>
      </c>
      <c r="O16" s="42">
        <f>AVERAGE(O5:O12)</f>
        <v>211.00151074977123</v>
      </c>
      <c r="T16" s="5">
        <f t="shared" si="4"/>
        <v>1.0000014228472645</v>
      </c>
    </row>
    <row r="17" spans="1:18" x14ac:dyDescent="0.3">
      <c r="A17" s="41" t="s">
        <v>178</v>
      </c>
      <c r="B17" s="41" t="s">
        <v>179</v>
      </c>
      <c r="K17" s="43">
        <f>SUM(K5:K6,K7:K8,K9:K12)</f>
        <v>45319</v>
      </c>
      <c r="L17" s="43">
        <f>SUM(L5:L6,L7:L8,L9:L12)</f>
        <v>546.08838300000002</v>
      </c>
      <c r="Q17" s="43">
        <f>SUM(Q5:Q6,Q7:Q8,Q9:Q12)</f>
        <v>62330.095334999998</v>
      </c>
      <c r="R17" s="43">
        <f>SUM(R5:R6,R7:R8,R9:R12)</f>
        <v>1051.3324749999999</v>
      </c>
    </row>
    <row r="18" spans="1:18" x14ac:dyDescent="0.3">
      <c r="B18" s="41" t="s">
        <v>180</v>
      </c>
      <c r="Q18" s="8">
        <f>Q17/K17</f>
        <v>1.3753634311216045</v>
      </c>
      <c r="R18" s="8">
        <f>R17/L17</f>
        <v>1.925205713449502</v>
      </c>
    </row>
    <row r="28" spans="1:18" x14ac:dyDescent="0.3">
      <c r="H28" s="59"/>
      <c r="I28" s="59"/>
      <c r="J28" s="59"/>
      <c r="K28" s="59"/>
      <c r="L28" s="59"/>
      <c r="M28" s="59"/>
      <c r="N28" s="59"/>
      <c r="O28" s="59"/>
      <c r="P28" s="59"/>
      <c r="Q28" s="59"/>
      <c r="R28" s="59"/>
    </row>
    <row r="29" spans="1:18" x14ac:dyDescent="0.3">
      <c r="H29" s="59"/>
      <c r="I29" s="59"/>
      <c r="J29" s="59"/>
      <c r="K29" s="59"/>
      <c r="L29" s="59"/>
      <c r="M29" s="59"/>
      <c r="N29" s="59"/>
      <c r="O29" s="59"/>
      <c r="P29" s="59"/>
      <c r="Q29" s="59"/>
      <c r="R29" s="59"/>
    </row>
    <row r="30" spans="1:18" x14ac:dyDescent="0.3">
      <c r="H30" s="59"/>
      <c r="I30" s="59"/>
      <c r="J30" s="59"/>
      <c r="K30" s="59"/>
      <c r="L30" s="59"/>
      <c r="M30" s="59"/>
      <c r="N30" s="59"/>
      <c r="O30" s="59"/>
      <c r="P30" s="59"/>
      <c r="Q30" s="59"/>
      <c r="R30" s="59"/>
    </row>
    <row r="31" spans="1:18" x14ac:dyDescent="0.3">
      <c r="H31" s="59"/>
      <c r="I31" s="59"/>
      <c r="J31" s="59"/>
      <c r="K31" s="59"/>
      <c r="L31" s="59"/>
      <c r="M31" s="59"/>
      <c r="N31" s="59"/>
      <c r="O31" s="59"/>
      <c r="P31" s="59"/>
      <c r="Q31" s="59"/>
      <c r="R31" s="59"/>
    </row>
    <row r="32" spans="1:18" x14ac:dyDescent="0.3">
      <c r="H32" s="59"/>
      <c r="I32" s="59"/>
      <c r="J32" s="59"/>
      <c r="K32" s="59"/>
      <c r="L32" s="59"/>
      <c r="M32" s="59"/>
      <c r="N32" s="59"/>
      <c r="O32" s="59"/>
      <c r="P32" s="59"/>
      <c r="Q32" s="59"/>
      <c r="R32" s="59"/>
    </row>
    <row r="33" spans="8:18" x14ac:dyDescent="0.3">
      <c r="H33" s="59"/>
      <c r="I33" s="59"/>
      <c r="J33" s="59"/>
      <c r="K33" s="59"/>
      <c r="L33" s="59"/>
      <c r="M33" s="59"/>
      <c r="N33" s="59"/>
      <c r="O33" s="59"/>
      <c r="P33" s="59"/>
      <c r="Q33" s="59"/>
      <c r="R33" s="59"/>
    </row>
    <row r="34" spans="8:18" x14ac:dyDescent="0.3">
      <c r="H34" s="59"/>
      <c r="I34" s="59"/>
      <c r="J34" s="59"/>
      <c r="K34" s="59"/>
      <c r="L34" s="59"/>
      <c r="M34" s="59"/>
      <c r="N34" s="59"/>
      <c r="O34" s="59"/>
      <c r="P34" s="59"/>
      <c r="Q34" s="59"/>
      <c r="R34" s="59"/>
    </row>
    <row r="35" spans="8:18" x14ac:dyDescent="0.3">
      <c r="H35" s="59"/>
      <c r="I35" s="59"/>
      <c r="J35" s="59"/>
      <c r="K35" s="59"/>
      <c r="L35" s="59"/>
      <c r="M35" s="59"/>
      <c r="N35" s="59"/>
      <c r="O35" s="59"/>
      <c r="P35" s="59"/>
      <c r="Q35" s="59"/>
      <c r="R35" s="59"/>
    </row>
  </sheetData>
  <mergeCells count="20">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 ref="T2:T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1"/>
  <sheetViews>
    <sheetView workbookViewId="0"/>
  </sheetViews>
  <sheetFormatPr defaultColWidth="9.109375" defaultRowHeight="14.4" x14ac:dyDescent="0.3"/>
  <cols>
    <col min="1" max="1" width="41.6640625" bestFit="1" customWidth="1"/>
  </cols>
  <sheetData>
    <row r="1" spans="1:2" x14ac:dyDescent="0.3">
      <c r="A1" t="s">
        <v>181</v>
      </c>
      <c r="B1">
        <v>1</v>
      </c>
    </row>
    <row r="2" spans="1:2" x14ac:dyDescent="0.3">
      <c r="A2" t="s">
        <v>182</v>
      </c>
      <c r="B2">
        <v>2</v>
      </c>
    </row>
    <row r="3" spans="1:2" x14ac:dyDescent="0.3">
      <c r="A3" t="s">
        <v>183</v>
      </c>
      <c r="B3">
        <v>3</v>
      </c>
    </row>
    <row r="4" spans="1:2" x14ac:dyDescent="0.3">
      <c r="A4" t="s">
        <v>184</v>
      </c>
      <c r="B4">
        <v>4</v>
      </c>
    </row>
    <row r="5" spans="1:2" x14ac:dyDescent="0.3">
      <c r="A5" t="s">
        <v>185</v>
      </c>
      <c r="B5">
        <v>5</v>
      </c>
    </row>
    <row r="6" spans="1:2" x14ac:dyDescent="0.3">
      <c r="A6" t="s">
        <v>186</v>
      </c>
      <c r="B6">
        <v>6</v>
      </c>
    </row>
    <row r="7" spans="1:2" x14ac:dyDescent="0.3">
      <c r="A7" t="s">
        <v>187</v>
      </c>
      <c r="B7">
        <v>8</v>
      </c>
    </row>
    <row r="8" spans="1:2" x14ac:dyDescent="0.3">
      <c r="A8" t="s">
        <v>188</v>
      </c>
      <c r="B8">
        <v>9</v>
      </c>
    </row>
    <row r="9" spans="1:2" x14ac:dyDescent="0.3">
      <c r="A9" t="s">
        <v>189</v>
      </c>
      <c r="B9">
        <v>10</v>
      </c>
    </row>
    <row r="10" spans="1:2" x14ac:dyDescent="0.3">
      <c r="A10" t="s">
        <v>190</v>
      </c>
      <c r="B10">
        <v>11</v>
      </c>
    </row>
    <row r="11" spans="1:2" x14ac:dyDescent="0.3">
      <c r="A11" t="s">
        <v>191</v>
      </c>
      <c r="B11">
        <v>12</v>
      </c>
    </row>
    <row r="12" spans="1:2" x14ac:dyDescent="0.3">
      <c r="A12" t="s">
        <v>192</v>
      </c>
      <c r="B12">
        <v>14</v>
      </c>
    </row>
    <row r="13" spans="1:2" x14ac:dyDescent="0.3">
      <c r="A13" t="s">
        <v>193</v>
      </c>
      <c r="B13">
        <v>15</v>
      </c>
    </row>
    <row r="14" spans="1:2" x14ac:dyDescent="0.3">
      <c r="A14" t="s">
        <v>194</v>
      </c>
      <c r="B14">
        <v>16</v>
      </c>
    </row>
    <row r="15" spans="1:2" x14ac:dyDescent="0.3">
      <c r="A15" t="s">
        <v>195</v>
      </c>
      <c r="B15">
        <v>17</v>
      </c>
    </row>
    <row r="16" spans="1:2" x14ac:dyDescent="0.3">
      <c r="A16" t="s">
        <v>196</v>
      </c>
      <c r="B16">
        <v>18</v>
      </c>
    </row>
    <row r="17" spans="1:2" x14ac:dyDescent="0.3">
      <c r="A17" t="s">
        <v>197</v>
      </c>
      <c r="B17">
        <v>20</v>
      </c>
    </row>
    <row r="18" spans="1:2" x14ac:dyDescent="0.3">
      <c r="A18" t="s">
        <v>198</v>
      </c>
      <c r="B18" t="s">
        <v>199</v>
      </c>
    </row>
    <row r="19" spans="1:2" x14ac:dyDescent="0.3">
      <c r="A19" t="s">
        <v>200</v>
      </c>
      <c r="B19" t="s">
        <v>201</v>
      </c>
    </row>
    <row r="20" spans="1:2" x14ac:dyDescent="0.3">
      <c r="A20" t="s">
        <v>202</v>
      </c>
      <c r="B20" t="s">
        <v>203</v>
      </c>
    </row>
    <row r="21" spans="1:2" x14ac:dyDescent="0.3">
      <c r="A21" t="s">
        <v>204</v>
      </c>
      <c r="B21" t="s">
        <v>205</v>
      </c>
    </row>
    <row r="22" spans="1:2" x14ac:dyDescent="0.3">
      <c r="A22" t="s">
        <v>206</v>
      </c>
      <c r="B22" t="s">
        <v>207</v>
      </c>
    </row>
    <row r="23" spans="1:2" x14ac:dyDescent="0.3">
      <c r="A23" t="s">
        <v>208</v>
      </c>
      <c r="B23" t="s">
        <v>209</v>
      </c>
    </row>
    <row r="24" spans="1:2" x14ac:dyDescent="0.3">
      <c r="A24" t="s">
        <v>210</v>
      </c>
      <c r="B24" t="s">
        <v>211</v>
      </c>
    </row>
    <row r="25" spans="1:2" x14ac:dyDescent="0.3">
      <c r="A25" t="s">
        <v>212</v>
      </c>
      <c r="B25" t="s">
        <v>213</v>
      </c>
    </row>
    <row r="26" spans="1:2" x14ac:dyDescent="0.3">
      <c r="A26" t="s">
        <v>214</v>
      </c>
      <c r="B26" t="s">
        <v>215</v>
      </c>
    </row>
    <row r="27" spans="1:2" x14ac:dyDescent="0.3">
      <c r="A27" t="s">
        <v>216</v>
      </c>
      <c r="B27" t="s">
        <v>217</v>
      </c>
    </row>
    <row r="28" spans="1:2" x14ac:dyDescent="0.3">
      <c r="A28" t="s">
        <v>218</v>
      </c>
      <c r="B28">
        <v>1</v>
      </c>
    </row>
    <row r="29" spans="1:2" x14ac:dyDescent="0.3">
      <c r="A29" t="s">
        <v>219</v>
      </c>
      <c r="B29">
        <v>2</v>
      </c>
    </row>
    <row r="30" spans="1:2" x14ac:dyDescent="0.3">
      <c r="A30" t="s">
        <v>220</v>
      </c>
      <c r="B30">
        <v>3</v>
      </c>
    </row>
    <row r="31" spans="1:2" x14ac:dyDescent="0.3">
      <c r="A31" t="s">
        <v>221</v>
      </c>
      <c r="B31">
        <v>4</v>
      </c>
    </row>
    <row r="32" spans="1:2" x14ac:dyDescent="0.3">
      <c r="A32" t="s">
        <v>222</v>
      </c>
      <c r="B32">
        <v>5</v>
      </c>
    </row>
    <row r="33" spans="1:2" x14ac:dyDescent="0.3">
      <c r="A33" t="s">
        <v>223</v>
      </c>
      <c r="B33">
        <v>6</v>
      </c>
    </row>
    <row r="34" spans="1:2" x14ac:dyDescent="0.3">
      <c r="A34" t="s">
        <v>224</v>
      </c>
      <c r="B34">
        <v>7</v>
      </c>
    </row>
    <row r="35" spans="1:2" x14ac:dyDescent="0.3">
      <c r="A35" t="s">
        <v>225</v>
      </c>
      <c r="B35">
        <v>8</v>
      </c>
    </row>
    <row r="36" spans="1:2" x14ac:dyDescent="0.3">
      <c r="A36" t="s">
        <v>226</v>
      </c>
      <c r="B36">
        <v>10</v>
      </c>
    </row>
    <row r="37" spans="1:2" x14ac:dyDescent="0.3">
      <c r="A37" t="s">
        <v>227</v>
      </c>
      <c r="B37">
        <v>11</v>
      </c>
    </row>
    <row r="38" spans="1:2" x14ac:dyDescent="0.3">
      <c r="A38" t="s">
        <v>228</v>
      </c>
      <c r="B38">
        <v>12</v>
      </c>
    </row>
    <row r="39" spans="1:2" x14ac:dyDescent="0.3">
      <c r="A39" t="s">
        <v>229</v>
      </c>
      <c r="B39">
        <v>13</v>
      </c>
    </row>
    <row r="40" spans="1:2" x14ac:dyDescent="0.3">
      <c r="A40" t="s">
        <v>230</v>
      </c>
      <c r="B40">
        <v>14</v>
      </c>
    </row>
    <row r="41" spans="1:2" x14ac:dyDescent="0.3">
      <c r="A41" t="s">
        <v>231</v>
      </c>
      <c r="B41">
        <v>15</v>
      </c>
    </row>
    <row r="42" spans="1:2" x14ac:dyDescent="0.3">
      <c r="A42" t="s">
        <v>232</v>
      </c>
      <c r="B42">
        <v>16</v>
      </c>
    </row>
    <row r="43" spans="1:2" x14ac:dyDescent="0.3">
      <c r="A43" t="s">
        <v>233</v>
      </c>
      <c r="B43">
        <v>17</v>
      </c>
    </row>
    <row r="44" spans="1:2" x14ac:dyDescent="0.3">
      <c r="A44" t="s">
        <v>234</v>
      </c>
      <c r="B44">
        <v>18</v>
      </c>
    </row>
    <row r="45" spans="1:2" x14ac:dyDescent="0.3">
      <c r="A45" t="s">
        <v>235</v>
      </c>
      <c r="B45">
        <v>19</v>
      </c>
    </row>
    <row r="46" spans="1:2" x14ac:dyDescent="0.3">
      <c r="A46" t="s">
        <v>236</v>
      </c>
      <c r="B46">
        <v>20</v>
      </c>
    </row>
    <row r="47" spans="1:2" x14ac:dyDescent="0.3">
      <c r="A47" t="s">
        <v>237</v>
      </c>
      <c r="B47">
        <v>21</v>
      </c>
    </row>
    <row r="48" spans="1:2" x14ac:dyDescent="0.3">
      <c r="A48" t="s">
        <v>238</v>
      </c>
      <c r="B48">
        <v>22</v>
      </c>
    </row>
    <row r="49" spans="1:2" x14ac:dyDescent="0.3">
      <c r="A49" t="s">
        <v>239</v>
      </c>
      <c r="B49">
        <v>24</v>
      </c>
    </row>
    <row r="50" spans="1:2" x14ac:dyDescent="0.3">
      <c r="A50" t="s">
        <v>240</v>
      </c>
      <c r="B50">
        <v>25</v>
      </c>
    </row>
    <row r="51" spans="1:2" x14ac:dyDescent="0.3">
      <c r="A51" t="s">
        <v>241</v>
      </c>
      <c r="B51">
        <v>26</v>
      </c>
    </row>
    <row r="52" spans="1:2" x14ac:dyDescent="0.3">
      <c r="A52" t="s">
        <v>242</v>
      </c>
      <c r="B52">
        <v>27</v>
      </c>
    </row>
    <row r="53" spans="1:2" x14ac:dyDescent="0.3">
      <c r="A53" t="s">
        <v>243</v>
      </c>
      <c r="B53">
        <v>28</v>
      </c>
    </row>
    <row r="54" spans="1:2" x14ac:dyDescent="0.3">
      <c r="A54" t="s">
        <v>244</v>
      </c>
      <c r="B54">
        <v>29</v>
      </c>
    </row>
    <row r="55" spans="1:2" x14ac:dyDescent="0.3">
      <c r="A55" t="s">
        <v>245</v>
      </c>
      <c r="B55">
        <v>30</v>
      </c>
    </row>
    <row r="56" spans="1:2" x14ac:dyDescent="0.3">
      <c r="A56" t="s">
        <v>246</v>
      </c>
      <c r="B56">
        <v>31</v>
      </c>
    </row>
    <row r="57" spans="1:2" x14ac:dyDescent="0.3">
      <c r="A57" t="s">
        <v>247</v>
      </c>
      <c r="B57">
        <v>32</v>
      </c>
    </row>
    <row r="58" spans="1:2" x14ac:dyDescent="0.3">
      <c r="A58" t="s">
        <v>248</v>
      </c>
      <c r="B58">
        <v>33</v>
      </c>
    </row>
    <row r="59" spans="1:2" x14ac:dyDescent="0.3">
      <c r="A59" t="s">
        <v>249</v>
      </c>
      <c r="B59">
        <v>34</v>
      </c>
    </row>
    <row r="60" spans="1:2" x14ac:dyDescent="0.3">
      <c r="A60" t="s">
        <v>250</v>
      </c>
      <c r="B60">
        <v>35</v>
      </c>
    </row>
    <row r="61" spans="1:2" x14ac:dyDescent="0.3">
      <c r="A61" t="s">
        <v>251</v>
      </c>
      <c r="B61">
        <v>36</v>
      </c>
    </row>
    <row r="62" spans="1:2" x14ac:dyDescent="0.3">
      <c r="A62" t="s">
        <v>252</v>
      </c>
      <c r="B62">
        <v>38</v>
      </c>
    </row>
    <row r="63" spans="1:2" x14ac:dyDescent="0.3">
      <c r="A63" t="s">
        <v>253</v>
      </c>
      <c r="B63">
        <v>39</v>
      </c>
    </row>
    <row r="64" spans="1:2" x14ac:dyDescent="0.3">
      <c r="A64" t="s">
        <v>254</v>
      </c>
      <c r="B64">
        <v>40</v>
      </c>
    </row>
    <row r="65" spans="1:14" x14ac:dyDescent="0.3">
      <c r="A65" t="s">
        <v>255</v>
      </c>
      <c r="B65">
        <v>41</v>
      </c>
    </row>
    <row r="66" spans="1:14" x14ac:dyDescent="0.3">
      <c r="A66" t="s">
        <v>256</v>
      </c>
      <c r="B66">
        <v>42</v>
      </c>
    </row>
    <row r="67" spans="1:14" x14ac:dyDescent="0.3">
      <c r="A67" t="s">
        <v>257</v>
      </c>
      <c r="B67">
        <v>43</v>
      </c>
    </row>
    <row r="68" spans="1:14" x14ac:dyDescent="0.3">
      <c r="A68" t="s">
        <v>258</v>
      </c>
      <c r="B68">
        <v>44</v>
      </c>
    </row>
    <row r="69" spans="1:14" x14ac:dyDescent="0.3">
      <c r="A69" t="s">
        <v>259</v>
      </c>
      <c r="B69" t="s">
        <v>260</v>
      </c>
    </row>
    <row r="70" spans="1:14" x14ac:dyDescent="0.3">
      <c r="A70" t="s">
        <v>261</v>
      </c>
      <c r="B70" t="s">
        <v>262</v>
      </c>
    </row>
    <row r="71" spans="1:14" x14ac:dyDescent="0.3">
      <c r="A71" t="s">
        <v>263</v>
      </c>
      <c r="B71" t="s">
        <v>264</v>
      </c>
    </row>
    <row r="72" spans="1:14" x14ac:dyDescent="0.3">
      <c r="A72" t="s">
        <v>265</v>
      </c>
      <c r="B72" t="s">
        <v>266</v>
      </c>
    </row>
    <row r="73" spans="1:14" x14ac:dyDescent="0.3">
      <c r="A73" t="s">
        <v>267</v>
      </c>
      <c r="B73" t="s">
        <v>268</v>
      </c>
    </row>
    <row r="74" spans="1:14" x14ac:dyDescent="0.3">
      <c r="A74" t="s">
        <v>269</v>
      </c>
      <c r="B74" t="s">
        <v>270</v>
      </c>
    </row>
    <row r="75" spans="1:14" x14ac:dyDescent="0.3">
      <c r="A75" t="s">
        <v>271</v>
      </c>
      <c r="B75" t="s">
        <v>272</v>
      </c>
    </row>
    <row r="76" spans="1:14" x14ac:dyDescent="0.3">
      <c r="A76" t="s">
        <v>273</v>
      </c>
      <c r="B76" t="s">
        <v>274</v>
      </c>
    </row>
    <row r="77" spans="1:14" x14ac:dyDescent="0.3">
      <c r="A77" t="s">
        <v>275</v>
      </c>
      <c r="B77" t="s">
        <v>276</v>
      </c>
    </row>
    <row r="78" spans="1:14" x14ac:dyDescent="0.3">
      <c r="A78" t="s">
        <v>277</v>
      </c>
      <c r="B78" t="s">
        <v>278</v>
      </c>
    </row>
    <row r="79" spans="1:14" x14ac:dyDescent="0.3">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3">
      <c r="A80" t="s">
        <v>280</v>
      </c>
      <c r="B80">
        <v>1</v>
      </c>
    </row>
    <row r="81" spans="1:2" x14ac:dyDescent="0.3">
      <c r="A81" t="s">
        <v>281</v>
      </c>
      <c r="B81">
        <v>2</v>
      </c>
    </row>
    <row r="82" spans="1:2" x14ac:dyDescent="0.3">
      <c r="A82" t="s">
        <v>282</v>
      </c>
      <c r="B82">
        <v>3</v>
      </c>
    </row>
    <row r="83" spans="1:2" x14ac:dyDescent="0.3">
      <c r="A83" t="s">
        <v>283</v>
      </c>
      <c r="B83">
        <v>4</v>
      </c>
    </row>
    <row r="84" spans="1:2" x14ac:dyDescent="0.3">
      <c r="A84" t="s">
        <v>284</v>
      </c>
      <c r="B84">
        <v>5</v>
      </c>
    </row>
    <row r="85" spans="1:2" x14ac:dyDescent="0.3">
      <c r="A85" t="s">
        <v>285</v>
      </c>
      <c r="B85">
        <v>6</v>
      </c>
    </row>
    <row r="86" spans="1:2" x14ac:dyDescent="0.3">
      <c r="A86" t="s">
        <v>286</v>
      </c>
      <c r="B86">
        <v>7</v>
      </c>
    </row>
    <row r="87" spans="1:2" x14ac:dyDescent="0.3">
      <c r="A87" t="s">
        <v>287</v>
      </c>
      <c r="B87">
        <v>8</v>
      </c>
    </row>
    <row r="88" spans="1:2" x14ac:dyDescent="0.3">
      <c r="A88" t="s">
        <v>288</v>
      </c>
      <c r="B88">
        <v>10</v>
      </c>
    </row>
    <row r="89" spans="1:2" x14ac:dyDescent="0.3">
      <c r="A89" t="s">
        <v>289</v>
      </c>
      <c r="B89">
        <v>11</v>
      </c>
    </row>
    <row r="90" spans="1:2" x14ac:dyDescent="0.3">
      <c r="A90" t="s">
        <v>290</v>
      </c>
      <c r="B90">
        <v>12</v>
      </c>
    </row>
    <row r="91" spans="1:2" x14ac:dyDescent="0.3">
      <c r="A91" t="s">
        <v>291</v>
      </c>
      <c r="B91">
        <v>13</v>
      </c>
    </row>
    <row r="92" spans="1:2" x14ac:dyDescent="0.3">
      <c r="A92" t="s">
        <v>292</v>
      </c>
      <c r="B92">
        <v>14</v>
      </c>
    </row>
    <row r="93" spans="1:2" x14ac:dyDescent="0.3">
      <c r="A93" t="s">
        <v>293</v>
      </c>
      <c r="B93">
        <v>15</v>
      </c>
    </row>
    <row r="94" spans="1:2" x14ac:dyDescent="0.3">
      <c r="A94" t="s">
        <v>294</v>
      </c>
      <c r="B94">
        <v>16</v>
      </c>
    </row>
    <row r="95" spans="1:2" x14ac:dyDescent="0.3">
      <c r="A95" t="s">
        <v>295</v>
      </c>
      <c r="B95">
        <v>17</v>
      </c>
    </row>
    <row r="96" spans="1:2" x14ac:dyDescent="0.3">
      <c r="A96" t="s">
        <v>296</v>
      </c>
      <c r="B96">
        <v>18</v>
      </c>
    </row>
    <row r="97" spans="1:2" x14ac:dyDescent="0.3">
      <c r="A97" t="s">
        <v>297</v>
      </c>
      <c r="B97">
        <v>19</v>
      </c>
    </row>
    <row r="98" spans="1:2" x14ac:dyDescent="0.3">
      <c r="A98" t="s">
        <v>298</v>
      </c>
      <c r="B98">
        <v>20</v>
      </c>
    </row>
    <row r="99" spans="1:2" x14ac:dyDescent="0.3">
      <c r="A99" t="s">
        <v>299</v>
      </c>
      <c r="B99">
        <v>21</v>
      </c>
    </row>
    <row r="100" spans="1:2" x14ac:dyDescent="0.3">
      <c r="A100" t="s">
        <v>300</v>
      </c>
      <c r="B100">
        <v>22</v>
      </c>
    </row>
    <row r="101" spans="1:2" x14ac:dyDescent="0.3">
      <c r="A101" t="s">
        <v>301</v>
      </c>
      <c r="B101">
        <v>24</v>
      </c>
    </row>
    <row r="102" spans="1:2" x14ac:dyDescent="0.3">
      <c r="A102" t="s">
        <v>302</v>
      </c>
      <c r="B102">
        <v>25</v>
      </c>
    </row>
    <row r="103" spans="1:2" x14ac:dyDescent="0.3">
      <c r="A103" t="s">
        <v>303</v>
      </c>
      <c r="B103">
        <v>26</v>
      </c>
    </row>
    <row r="104" spans="1:2" x14ac:dyDescent="0.3">
      <c r="A104" t="s">
        <v>304</v>
      </c>
      <c r="B104">
        <v>27</v>
      </c>
    </row>
    <row r="105" spans="1:2" x14ac:dyDescent="0.3">
      <c r="A105" t="s">
        <v>305</v>
      </c>
      <c r="B105">
        <v>28</v>
      </c>
    </row>
    <row r="106" spans="1:2" x14ac:dyDescent="0.3">
      <c r="A106" t="s">
        <v>306</v>
      </c>
      <c r="B106">
        <v>29</v>
      </c>
    </row>
    <row r="107" spans="1:2" x14ac:dyDescent="0.3">
      <c r="A107" t="s">
        <v>307</v>
      </c>
      <c r="B107">
        <v>30</v>
      </c>
    </row>
    <row r="108" spans="1:2" x14ac:dyDescent="0.3">
      <c r="A108" t="s">
        <v>308</v>
      </c>
      <c r="B108">
        <v>31</v>
      </c>
    </row>
    <row r="109" spans="1:2" x14ac:dyDescent="0.3">
      <c r="A109" t="s">
        <v>309</v>
      </c>
      <c r="B109">
        <v>32</v>
      </c>
    </row>
    <row r="110" spans="1:2" x14ac:dyDescent="0.3">
      <c r="A110" t="s">
        <v>310</v>
      </c>
      <c r="B110">
        <v>33</v>
      </c>
    </row>
    <row r="111" spans="1:2" x14ac:dyDescent="0.3">
      <c r="A111" t="s">
        <v>311</v>
      </c>
      <c r="B111">
        <v>34</v>
      </c>
    </row>
    <row r="112" spans="1:2" x14ac:dyDescent="0.3">
      <c r="A112" t="s">
        <v>312</v>
      </c>
      <c r="B112">
        <v>35</v>
      </c>
    </row>
    <row r="113" spans="1:2" x14ac:dyDescent="0.3">
      <c r="A113" t="s">
        <v>313</v>
      </c>
      <c r="B113">
        <v>36</v>
      </c>
    </row>
    <row r="114" spans="1:2" x14ac:dyDescent="0.3">
      <c r="A114" t="s">
        <v>314</v>
      </c>
      <c r="B114">
        <v>38</v>
      </c>
    </row>
    <row r="115" spans="1:2" x14ac:dyDescent="0.3">
      <c r="A115" t="s">
        <v>315</v>
      </c>
      <c r="B115">
        <v>39</v>
      </c>
    </row>
    <row r="116" spans="1:2" x14ac:dyDescent="0.3">
      <c r="A116" t="s">
        <v>316</v>
      </c>
      <c r="B116">
        <v>40</v>
      </c>
    </row>
    <row r="117" spans="1:2" x14ac:dyDescent="0.3">
      <c r="A117" t="s">
        <v>317</v>
      </c>
      <c r="B117">
        <v>41</v>
      </c>
    </row>
    <row r="118" spans="1:2" x14ac:dyDescent="0.3">
      <c r="A118" t="s">
        <v>318</v>
      </c>
      <c r="B118">
        <v>42</v>
      </c>
    </row>
    <row r="119" spans="1:2" x14ac:dyDescent="0.3">
      <c r="A119" t="s">
        <v>319</v>
      </c>
      <c r="B119">
        <v>43</v>
      </c>
    </row>
    <row r="120" spans="1:2" x14ac:dyDescent="0.3">
      <c r="A120" t="s">
        <v>320</v>
      </c>
      <c r="B120">
        <v>44</v>
      </c>
    </row>
    <row r="121" spans="1:2" x14ac:dyDescent="0.3">
      <c r="A121" t="s">
        <v>321</v>
      </c>
      <c r="B121" t="s">
        <v>322</v>
      </c>
    </row>
    <row r="122" spans="1:2" x14ac:dyDescent="0.3">
      <c r="A122" t="s">
        <v>323</v>
      </c>
      <c r="B122" t="s">
        <v>324</v>
      </c>
    </row>
    <row r="123" spans="1:2" x14ac:dyDescent="0.3">
      <c r="A123" t="s">
        <v>325</v>
      </c>
      <c r="B123" t="s">
        <v>326</v>
      </c>
    </row>
    <row r="124" spans="1:2" x14ac:dyDescent="0.3">
      <c r="A124" t="s">
        <v>327</v>
      </c>
      <c r="B124" t="s">
        <v>328</v>
      </c>
    </row>
    <row r="125" spans="1:2" x14ac:dyDescent="0.3">
      <c r="A125" t="s">
        <v>329</v>
      </c>
      <c r="B125" t="s">
        <v>330</v>
      </c>
    </row>
    <row r="126" spans="1:2" x14ac:dyDescent="0.3">
      <c r="A126" t="s">
        <v>331</v>
      </c>
      <c r="B126" t="s">
        <v>332</v>
      </c>
    </row>
    <row r="127" spans="1:2" x14ac:dyDescent="0.3">
      <c r="A127" t="s">
        <v>333</v>
      </c>
      <c r="B127" t="s">
        <v>334</v>
      </c>
    </row>
    <row r="128" spans="1:2" x14ac:dyDescent="0.3">
      <c r="A128" t="s">
        <v>335</v>
      </c>
      <c r="B128" t="s">
        <v>336</v>
      </c>
    </row>
    <row r="129" spans="1:14" x14ac:dyDescent="0.3">
      <c r="A129" t="s">
        <v>337</v>
      </c>
      <c r="B129" t="s">
        <v>338</v>
      </c>
    </row>
    <row r="130" spans="1:14" x14ac:dyDescent="0.3">
      <c r="A130" t="s">
        <v>339</v>
      </c>
      <c r="B130" t="s">
        <v>340</v>
      </c>
    </row>
    <row r="131" spans="1:14" x14ac:dyDescent="0.3">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R50"/>
  <sheetViews>
    <sheetView zoomScale="70" zoomScaleNormal="70" workbookViewId="0">
      <pane xSplit="2" ySplit="4" topLeftCell="Q5" activePane="bottomRight" state="frozen"/>
      <selection pane="topRight" activeCell="C1" sqref="C1"/>
      <selection pane="bottomLeft" activeCell="A5" sqref="A5"/>
      <selection pane="bottomRight" activeCell="AU24" sqref="AU24"/>
    </sheetView>
  </sheetViews>
  <sheetFormatPr defaultColWidth="9.109375" defaultRowHeight="14.4" outlineLevelRow="1" x14ac:dyDescent="0.3"/>
  <cols>
    <col min="2" max="2" width="24.6640625" customWidth="1"/>
    <col min="4" max="5" width="10.6640625" customWidth="1"/>
    <col min="9" max="9" width="1.6640625" customWidth="1"/>
    <col min="11" max="12" width="10.6640625" customWidth="1"/>
    <col min="13" max="13" width="12.6640625" customWidth="1"/>
    <col min="14" max="20" width="11.6640625" customWidth="1"/>
    <col min="23" max="23" width="1.6640625" customWidth="1"/>
    <col min="25" max="26" width="10.6640625" customWidth="1"/>
    <col min="27" max="27" width="12.6640625" customWidth="1"/>
    <col min="28" max="34" width="11.6640625" customWidth="1"/>
    <col min="37" max="37" width="1.6640625" customWidth="1"/>
    <col min="40" max="44" width="11.6640625" customWidth="1"/>
    <col min="45" max="45" width="1.6640625" customWidth="1"/>
  </cols>
  <sheetData>
    <row r="1" spans="1:44" x14ac:dyDescent="0.3">
      <c r="A1" s="73" t="s">
        <v>342</v>
      </c>
      <c r="B1" s="61"/>
      <c r="C1" s="61"/>
      <c r="D1" s="61"/>
      <c r="E1" s="61"/>
      <c r="F1" s="61"/>
      <c r="G1" s="61"/>
      <c r="H1" s="61"/>
      <c r="J1" s="69" t="str">
        <f>Summary!C1</f>
        <v>F032_v3.0</v>
      </c>
      <c r="K1" s="61"/>
      <c r="L1" s="61"/>
      <c r="M1" s="61"/>
      <c r="N1" s="61"/>
      <c r="O1" s="61"/>
      <c r="P1" s="61"/>
      <c r="Q1" s="61"/>
      <c r="R1" s="61"/>
      <c r="S1" s="61"/>
      <c r="T1" s="61"/>
      <c r="U1" s="61"/>
      <c r="V1" s="61"/>
      <c r="X1" s="70" t="str">
        <f>Summary!C2</f>
        <v>integration-of-m62939-ee4-7-test-3-4-and-m63491-padding-at-the-bottom</v>
      </c>
      <c r="Y1" s="61"/>
      <c r="Z1" s="61"/>
      <c r="AA1" s="61"/>
      <c r="AB1" s="61"/>
      <c r="AC1" s="61"/>
      <c r="AD1" s="61"/>
      <c r="AE1" s="61"/>
      <c r="AF1" s="61"/>
      <c r="AG1" s="61"/>
      <c r="AH1" s="61"/>
      <c r="AI1" s="61"/>
      <c r="AJ1" s="61"/>
    </row>
    <row r="2" spans="1:44" ht="30" customHeight="1" x14ac:dyDescent="0.3">
      <c r="A2" s="71" t="s">
        <v>151</v>
      </c>
      <c r="B2" s="72" t="s">
        <v>152</v>
      </c>
      <c r="C2" s="71" t="s">
        <v>343</v>
      </c>
      <c r="D2" s="72" t="s">
        <v>153</v>
      </c>
      <c r="E2" s="71" t="s">
        <v>154</v>
      </c>
      <c r="F2" s="72" t="s">
        <v>155</v>
      </c>
      <c r="G2" s="71" t="s">
        <v>156</v>
      </c>
      <c r="H2" s="72" t="s">
        <v>344</v>
      </c>
      <c r="J2" s="71" t="s">
        <v>129</v>
      </c>
      <c r="K2" s="72" t="s">
        <v>133</v>
      </c>
      <c r="L2" s="71" t="s">
        <v>83</v>
      </c>
      <c r="M2" s="72" t="s">
        <v>122</v>
      </c>
      <c r="N2" s="75" t="s">
        <v>345</v>
      </c>
      <c r="O2" s="61"/>
      <c r="P2" s="61"/>
      <c r="Q2" s="61"/>
      <c r="R2" s="61"/>
      <c r="S2" s="74" t="s">
        <v>346</v>
      </c>
      <c r="T2" s="61"/>
      <c r="U2" s="71" t="s">
        <v>124</v>
      </c>
      <c r="V2" s="72" t="s">
        <v>104</v>
      </c>
      <c r="X2" s="71" t="s">
        <v>129</v>
      </c>
      <c r="Y2" s="72" t="s">
        <v>133</v>
      </c>
      <c r="Z2" s="71" t="s">
        <v>83</v>
      </c>
      <c r="AA2" s="72" t="s">
        <v>122</v>
      </c>
      <c r="AB2" s="75" t="s">
        <v>345</v>
      </c>
      <c r="AC2" s="61"/>
      <c r="AD2" s="61"/>
      <c r="AE2" s="61"/>
      <c r="AF2" s="61"/>
      <c r="AG2" s="74" t="s">
        <v>346</v>
      </c>
      <c r="AH2" s="61"/>
      <c r="AI2" s="71" t="s">
        <v>124</v>
      </c>
      <c r="AJ2" s="72" t="s">
        <v>104</v>
      </c>
      <c r="AL2" s="75" t="s">
        <v>15</v>
      </c>
      <c r="AM2" s="61"/>
      <c r="AN2" s="61"/>
      <c r="AO2" s="61"/>
      <c r="AP2" s="61"/>
      <c r="AQ2" s="74" t="s">
        <v>16</v>
      </c>
      <c r="AR2" s="61"/>
    </row>
    <row r="3" spans="1:44" ht="15.75" customHeight="1" thickBot="1" x14ac:dyDescent="0.35">
      <c r="A3" s="63"/>
      <c r="B3" s="63"/>
      <c r="C3" s="63"/>
      <c r="D3" s="63"/>
      <c r="E3" s="63"/>
      <c r="F3" s="63"/>
      <c r="G3" s="63"/>
      <c r="H3" s="63"/>
      <c r="J3" s="63"/>
      <c r="K3" s="63"/>
      <c r="L3" s="63"/>
      <c r="M3" s="63"/>
      <c r="N3" s="13" t="s">
        <v>17</v>
      </c>
      <c r="O3" s="13" t="s">
        <v>18</v>
      </c>
      <c r="P3" s="13" t="s">
        <v>19</v>
      </c>
      <c r="Q3" s="13" t="s">
        <v>20</v>
      </c>
      <c r="R3" s="13" t="s">
        <v>21</v>
      </c>
      <c r="S3" s="14" t="s">
        <v>22</v>
      </c>
      <c r="T3" s="14" t="s">
        <v>19</v>
      </c>
      <c r="U3" s="63"/>
      <c r="V3" s="63"/>
      <c r="X3" s="63"/>
      <c r="Y3" s="63"/>
      <c r="Z3" s="63"/>
      <c r="AA3" s="63"/>
      <c r="AB3" s="13" t="s">
        <v>17</v>
      </c>
      <c r="AC3" s="13" t="s">
        <v>18</v>
      </c>
      <c r="AD3" s="13" t="s">
        <v>19</v>
      </c>
      <c r="AE3" s="13" t="s">
        <v>20</v>
      </c>
      <c r="AF3" s="13" t="s">
        <v>21</v>
      </c>
      <c r="AG3" s="14" t="s">
        <v>22</v>
      </c>
      <c r="AH3" s="14" t="s">
        <v>19</v>
      </c>
      <c r="AI3" s="63"/>
      <c r="AJ3" s="63"/>
      <c r="AL3" s="13" t="s">
        <v>17</v>
      </c>
      <c r="AM3" s="13" t="s">
        <v>18</v>
      </c>
      <c r="AN3" s="13" t="s">
        <v>19</v>
      </c>
      <c r="AO3" s="13" t="s">
        <v>20</v>
      </c>
      <c r="AP3" s="13" t="s">
        <v>21</v>
      </c>
      <c r="AQ3" s="14" t="s">
        <v>22</v>
      </c>
      <c r="AR3" s="14" t="s">
        <v>19</v>
      </c>
    </row>
    <row r="4" spans="1:44" ht="53.25" hidden="1" customHeight="1" x14ac:dyDescent="0.3">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44" x14ac:dyDescent="0.3">
      <c r="A5" s="17" t="s">
        <v>175</v>
      </c>
      <c r="B5" s="17" t="s">
        <v>40</v>
      </c>
      <c r="C5" s="19" t="s">
        <v>372</v>
      </c>
      <c r="D5" s="17">
        <v>11997440</v>
      </c>
      <c r="E5" s="18">
        <v>10</v>
      </c>
      <c r="F5" s="19">
        <v>32</v>
      </c>
      <c r="G5" s="19">
        <v>30</v>
      </c>
      <c r="H5" s="19">
        <v>4</v>
      </c>
      <c r="J5" s="20">
        <f t="shared" ref="J5:J44" si="0">IF(OR(ISBLANK(M5),ISBLANK(G5)),"·",M5*G5/F5/1000000)</f>
        <v>4.8331724999999999</v>
      </c>
      <c r="K5" s="21">
        <f t="shared" ref="K5:K44" si="1">IF(ISBLANK(M5),"·",M5/D5)</f>
        <v>0.42970700416088764</v>
      </c>
      <c r="L5" s="44">
        <v>2415872</v>
      </c>
      <c r="M5" s="22">
        <v>5155384</v>
      </c>
      <c r="N5" s="45">
        <v>68.067207100000005</v>
      </c>
      <c r="O5" s="45">
        <v>69.049653000000006</v>
      </c>
      <c r="P5" s="45">
        <v>28.384539700000001</v>
      </c>
      <c r="Q5" s="45">
        <v>34.176665900000003</v>
      </c>
      <c r="R5" s="45">
        <v>33.740744399999997</v>
      </c>
      <c r="S5" s="45">
        <v>48.886397899999999</v>
      </c>
      <c r="T5" s="45">
        <v>27.0767916</v>
      </c>
      <c r="U5" s="23">
        <v>1227.6891700000001</v>
      </c>
      <c r="V5" s="23">
        <v>12.037898500000001</v>
      </c>
      <c r="X5" s="20">
        <f t="shared" ref="X5:X44" si="2">IF(OR(ISBLANK(AA5),ISBLANK(G5)),"·",AA5*G5/F5/1000000)</f>
        <v>4.8394349999999999</v>
      </c>
      <c r="Y5" s="21">
        <f t="shared" ref="Y5:Y44" si="3">IF(ISBLANK(AA5),"·",AA5/D5)</f>
        <v>0.4302637896084498</v>
      </c>
      <c r="Z5" s="44">
        <v>2415872</v>
      </c>
      <c r="AA5" s="22">
        <v>5162064</v>
      </c>
      <c r="AB5" s="45">
        <v>68.067207100000005</v>
      </c>
      <c r="AC5" s="45">
        <v>69.049653000000006</v>
      </c>
      <c r="AD5" s="45">
        <v>28.384539700000001</v>
      </c>
      <c r="AE5" s="45">
        <v>34.176665900000003</v>
      </c>
      <c r="AF5" s="45">
        <v>33.740744399999997</v>
      </c>
      <c r="AG5" s="45">
        <v>48.886397899999999</v>
      </c>
      <c r="AH5" s="45">
        <v>27.0767916</v>
      </c>
      <c r="AI5" s="23">
        <v>2011.144669</v>
      </c>
      <c r="AJ5" s="23">
        <v>22.402287999999999</v>
      </c>
      <c r="AL5" s="76">
        <f t="array" ref="AL5">IF( OR(AND(ISBLANK(M5:M9)),AND(ISBLANK(AA5:AA9)), AND(ISBLANK(N5:N9)),AND(ISBLANK(AB5:AB9))), "·", bdRateExtend( M5:M9,N5:N9, AA5:AA9,AB5:AB9))</f>
        <v>2.3196714447326627E-4</v>
      </c>
      <c r="AM5" s="76">
        <f t="array" ref="AM5">IF( OR(AND(ISBLANK(M5:M9)),AND(ISBLANK(AA5:AA9)), AND(ISBLANK(O5:O9)),AND(ISBLANK(AC5:AC9))), "·", bdRateExtend( M5:M9,O5:O9, AA5:AA9,AC5:AC9))</f>
        <v>2.3262002620794142E-4</v>
      </c>
      <c r="AN5" s="76">
        <f t="array" ref="AN5">IF( OR(AND(ISBLANK(M5:M9)),AND(ISBLANK(AA5:AA9)), AND(ISBLANK(P5:P9)),AND(ISBLANK(AD5:AD9))), "·", bdRateExtend( M5:M9,P5:P9, AA5:AA9,AD5:AD9))</f>
        <v>8.1003562062820222E-4</v>
      </c>
      <c r="AO5" s="76">
        <f t="array" ref="AO5">IF( OR(AND(ISBLANK(M5:M9)),AND(ISBLANK(AA5:AA9)), AND(ISBLANK(Q5:Q9)),AND(ISBLANK(AE5:AE9))), "·", bdRateExtend( M5:M9,Q5:Q9, AA5:AA9,AE5:AE9))</f>
        <v>8.603541901910372E-4</v>
      </c>
      <c r="AP5" s="76">
        <f t="array" ref="AP5">IF( OR(AND(ISBLANK(M5:M9)),AND(ISBLANK(AA5:AA9)), AND(ISBLANK(R5:R9)),AND(ISBLANK(AF5:AF9))), "·", bdRateExtend( M5:M9,R5:R9, AA5:AA9,AF5:AF9))</f>
        <v>8.6680502165870088E-4</v>
      </c>
      <c r="AQ5" s="76">
        <f t="array" ref="AQ5">IF( OR(AND(ISBLANK(M5:M9)),AND(ISBLANK(AA5:AA9)), AND(ISBLANK(S5:S9)),AND(ISBLANK(AG5:AG9))), "·", bdRateExtend( M5:M9,S5:S9, AA5:AA9,AG5:AG9))</f>
        <v>2.2978414733554331E-4</v>
      </c>
      <c r="AR5" s="76">
        <f t="array" ref="AR5">IF( OR(AND(ISBLANK(M5:M9)),AND(ISBLANK(AA5:AA9)), AND(ISBLANK(T5:T9)),AND(ISBLANK(AH5:AH9))), "·", bdRateExtend( M5:M9,T5:T9, AA5:AA9,AH5:AH9))</f>
        <v>6.7827093384509318E-4</v>
      </c>
    </row>
    <row r="6" spans="1:44" outlineLevel="1" x14ac:dyDescent="0.3">
      <c r="A6" s="33"/>
      <c r="B6" s="33" t="s">
        <v>40</v>
      </c>
      <c r="C6" s="35" t="s">
        <v>373</v>
      </c>
      <c r="D6" s="33">
        <v>11997440</v>
      </c>
      <c r="E6" s="34">
        <v>10</v>
      </c>
      <c r="F6" s="35">
        <v>32</v>
      </c>
      <c r="G6" s="35">
        <v>30</v>
      </c>
      <c r="H6" s="35">
        <v>9</v>
      </c>
      <c r="J6" s="36">
        <f t="shared" si="0"/>
        <v>6.943365</v>
      </c>
      <c r="K6" s="37">
        <f t="shared" si="1"/>
        <v>0.61731969486823857</v>
      </c>
      <c r="L6" s="46">
        <v>2415872</v>
      </c>
      <c r="M6" s="38">
        <v>7406256</v>
      </c>
      <c r="N6" s="47">
        <v>69.125408300000004</v>
      </c>
      <c r="O6" s="47">
        <v>70.236529500000003</v>
      </c>
      <c r="P6" s="47">
        <v>29.8238117</v>
      </c>
      <c r="Q6" s="47">
        <v>35.472886699999997</v>
      </c>
      <c r="R6" s="47">
        <v>35.147626000000002</v>
      </c>
      <c r="S6" s="47">
        <v>49.422834600000002</v>
      </c>
      <c r="T6" s="47">
        <v>28.170070800000001</v>
      </c>
      <c r="U6" s="39">
        <v>1239.5865799999999</v>
      </c>
      <c r="V6" s="39">
        <v>12.2027994</v>
      </c>
      <c r="X6" s="36">
        <f t="shared" si="2"/>
        <v>6.9495750000000003</v>
      </c>
      <c r="Y6" s="37">
        <f t="shared" si="3"/>
        <v>0.6178718126533661</v>
      </c>
      <c r="Z6" s="46">
        <v>2415872</v>
      </c>
      <c r="AA6" s="38">
        <v>7412880</v>
      </c>
      <c r="AB6" s="47">
        <v>69.125408300000004</v>
      </c>
      <c r="AC6" s="47">
        <v>70.236529500000003</v>
      </c>
      <c r="AD6" s="47">
        <v>29.8238117</v>
      </c>
      <c r="AE6" s="47">
        <v>35.472886699999997</v>
      </c>
      <c r="AF6" s="47">
        <v>35.147626000000002</v>
      </c>
      <c r="AG6" s="47">
        <v>49.422834600000002</v>
      </c>
      <c r="AH6" s="47">
        <v>28.170070800000001</v>
      </c>
      <c r="AI6" s="39">
        <v>2026.7681789999999</v>
      </c>
      <c r="AJ6" s="39">
        <v>21.056536000000001</v>
      </c>
      <c r="AL6" s="77"/>
      <c r="AM6" s="77"/>
      <c r="AN6" s="77"/>
      <c r="AO6" s="77"/>
      <c r="AP6" s="77"/>
      <c r="AQ6" s="77"/>
      <c r="AR6" s="77"/>
    </row>
    <row r="7" spans="1:44" outlineLevel="1" x14ac:dyDescent="0.3">
      <c r="A7" s="17"/>
      <c r="B7" s="17" t="s">
        <v>40</v>
      </c>
      <c r="C7" s="19" t="s">
        <v>374</v>
      </c>
      <c r="D7" s="17">
        <v>11997440</v>
      </c>
      <c r="E7" s="18">
        <v>10</v>
      </c>
      <c r="F7" s="19">
        <v>32</v>
      </c>
      <c r="G7" s="19">
        <v>30</v>
      </c>
      <c r="H7" s="19">
        <v>12</v>
      </c>
      <c r="J7" s="20">
        <f t="shared" si="0"/>
        <v>9.9643650000000008</v>
      </c>
      <c r="K7" s="21">
        <f t="shared" si="1"/>
        <v>0.88591032753654109</v>
      </c>
      <c r="L7" s="44">
        <v>4871680</v>
      </c>
      <c r="M7" s="22">
        <v>10628656</v>
      </c>
      <c r="N7" s="45">
        <v>72.8955263</v>
      </c>
      <c r="O7" s="45">
        <v>74.5445122</v>
      </c>
      <c r="P7" s="45">
        <v>31.442256700000002</v>
      </c>
      <c r="Q7" s="45">
        <v>35.991161699999999</v>
      </c>
      <c r="R7" s="45">
        <v>35.728839899999997</v>
      </c>
      <c r="S7" s="45">
        <v>51.518318899999997</v>
      </c>
      <c r="T7" s="45">
        <v>30.025870600000001</v>
      </c>
      <c r="U7" s="23">
        <v>1478.3440399999999</v>
      </c>
      <c r="V7" s="23">
        <v>13.771193200000001</v>
      </c>
      <c r="X7" s="20">
        <f t="shared" si="2"/>
        <v>9.97227</v>
      </c>
      <c r="Y7" s="21">
        <f t="shared" si="3"/>
        <v>0.88661314413741599</v>
      </c>
      <c r="Z7" s="44">
        <v>4871680</v>
      </c>
      <c r="AA7" s="22">
        <v>10637088</v>
      </c>
      <c r="AB7" s="45">
        <v>72.8955263</v>
      </c>
      <c r="AC7" s="45">
        <v>74.5445122</v>
      </c>
      <c r="AD7" s="45">
        <v>31.442256700000002</v>
      </c>
      <c r="AE7" s="45">
        <v>35.991161699999999</v>
      </c>
      <c r="AF7" s="45">
        <v>35.728839899999997</v>
      </c>
      <c r="AG7" s="45">
        <v>51.518318899999997</v>
      </c>
      <c r="AH7" s="45">
        <v>30.025870600000001</v>
      </c>
      <c r="AI7" s="23">
        <v>2241.7583540000001</v>
      </c>
      <c r="AJ7" s="23">
        <v>22.480695000000001</v>
      </c>
      <c r="AL7" s="76"/>
      <c r="AM7" s="76"/>
      <c r="AN7" s="76"/>
      <c r="AO7" s="76"/>
      <c r="AP7" s="76"/>
      <c r="AQ7" s="76"/>
      <c r="AR7" s="76"/>
    </row>
    <row r="8" spans="1:44" outlineLevel="1" x14ac:dyDescent="0.3">
      <c r="A8" s="33"/>
      <c r="B8" s="33" t="s">
        <v>40</v>
      </c>
      <c r="C8" s="35" t="s">
        <v>375</v>
      </c>
      <c r="D8" s="33">
        <v>11997440</v>
      </c>
      <c r="E8" s="34">
        <v>10</v>
      </c>
      <c r="F8" s="35">
        <v>32</v>
      </c>
      <c r="G8" s="35">
        <v>30</v>
      </c>
      <c r="H8" s="35">
        <v>15</v>
      </c>
      <c r="J8" s="36">
        <f t="shared" si="0"/>
        <v>13.575150000000001</v>
      </c>
      <c r="K8" s="37">
        <f t="shared" si="1"/>
        <v>1.2069374799957324</v>
      </c>
      <c r="L8" s="46">
        <v>4871680</v>
      </c>
      <c r="M8" s="38">
        <v>14480160</v>
      </c>
      <c r="N8" s="47">
        <v>73.886487399999993</v>
      </c>
      <c r="O8" s="47">
        <v>75.697550100000001</v>
      </c>
      <c r="P8" s="47">
        <v>32.852823700000002</v>
      </c>
      <c r="Q8" s="47">
        <v>36.941897099999998</v>
      </c>
      <c r="R8" s="47">
        <v>36.699306300000003</v>
      </c>
      <c r="S8" s="47">
        <v>51.997675000000001</v>
      </c>
      <c r="T8" s="47">
        <v>31.156533</v>
      </c>
      <c r="U8" s="39">
        <v>1427.5944400000001</v>
      </c>
      <c r="V8" s="39">
        <v>13.2548467</v>
      </c>
      <c r="X8" s="36">
        <f t="shared" si="2"/>
        <v>13.5829875</v>
      </c>
      <c r="Y8" s="37">
        <f t="shared" si="3"/>
        <v>1.2076342953163341</v>
      </c>
      <c r="Z8" s="46">
        <v>4871680</v>
      </c>
      <c r="AA8" s="38">
        <v>14488520</v>
      </c>
      <c r="AB8" s="47">
        <v>73.886487399999993</v>
      </c>
      <c r="AC8" s="47">
        <v>75.697550100000001</v>
      </c>
      <c r="AD8" s="47">
        <v>32.852823700000002</v>
      </c>
      <c r="AE8" s="47">
        <v>36.941897099999998</v>
      </c>
      <c r="AF8" s="47">
        <v>36.699306300000003</v>
      </c>
      <c r="AG8" s="47">
        <v>51.997675000000001</v>
      </c>
      <c r="AH8" s="47">
        <v>31.156533</v>
      </c>
      <c r="AI8" s="39">
        <v>2265.729675</v>
      </c>
      <c r="AJ8" s="39">
        <v>23.623318999999999</v>
      </c>
      <c r="AL8" s="77"/>
      <c r="AM8" s="77"/>
      <c r="AN8" s="77"/>
      <c r="AO8" s="77"/>
      <c r="AP8" s="77"/>
      <c r="AQ8" s="77"/>
      <c r="AR8" s="77"/>
    </row>
    <row r="9" spans="1:44" ht="15.75" customHeight="1" outlineLevel="1" thickBot="1" x14ac:dyDescent="0.35">
      <c r="A9" s="17"/>
      <c r="B9" s="48" t="s">
        <v>40</v>
      </c>
      <c r="C9" s="49" t="s">
        <v>376</v>
      </c>
      <c r="D9" s="48">
        <v>11997440</v>
      </c>
      <c r="E9" s="50">
        <v>10</v>
      </c>
      <c r="F9" s="49">
        <v>32</v>
      </c>
      <c r="G9" s="49">
        <v>30</v>
      </c>
      <c r="H9" s="49">
        <v>22</v>
      </c>
      <c r="J9" s="51">
        <f t="shared" si="0"/>
        <v>22.804132500000001</v>
      </c>
      <c r="K9" s="52">
        <f t="shared" si="1"/>
        <v>2.0274665261922542</v>
      </c>
      <c r="L9" s="53">
        <v>1279248</v>
      </c>
      <c r="M9" s="54">
        <v>24324408</v>
      </c>
      <c r="N9" s="55">
        <v>999.99</v>
      </c>
      <c r="O9" s="55">
        <v>999.99</v>
      </c>
      <c r="P9" s="55">
        <v>33.473650399999997</v>
      </c>
      <c r="Q9" s="55">
        <v>37.333696799999998</v>
      </c>
      <c r="R9" s="55">
        <v>37.099611500000002</v>
      </c>
      <c r="S9" s="55">
        <v>999.99</v>
      </c>
      <c r="T9" s="55">
        <v>33.379334700000001</v>
      </c>
      <c r="U9" s="56">
        <v>1079.70273</v>
      </c>
      <c r="V9" s="56">
        <v>14.761673999999999</v>
      </c>
      <c r="X9" s="51">
        <f t="shared" si="2"/>
        <v>22.806660000000001</v>
      </c>
      <c r="Y9" s="52">
        <f t="shared" si="3"/>
        <v>2.027691240798037</v>
      </c>
      <c r="Z9" s="53">
        <v>1279248</v>
      </c>
      <c r="AA9" s="54">
        <v>24327104</v>
      </c>
      <c r="AB9" s="55">
        <v>999.99</v>
      </c>
      <c r="AC9" s="55">
        <v>999.99</v>
      </c>
      <c r="AD9" s="55">
        <v>33.473650399999997</v>
      </c>
      <c r="AE9" s="55">
        <v>37.333696799999998</v>
      </c>
      <c r="AF9" s="55">
        <v>37.099611500000002</v>
      </c>
      <c r="AG9" s="55">
        <v>999.99</v>
      </c>
      <c r="AH9" s="55">
        <v>33.379334700000001</v>
      </c>
      <c r="AI9" s="56">
        <v>1474.2669760000001</v>
      </c>
      <c r="AJ9" s="56">
        <v>21.368157</v>
      </c>
      <c r="AL9" s="78"/>
      <c r="AM9" s="78"/>
      <c r="AN9" s="78"/>
      <c r="AO9" s="78"/>
      <c r="AP9" s="78"/>
      <c r="AQ9" s="78"/>
      <c r="AR9" s="78"/>
    </row>
    <row r="10" spans="1:44" x14ac:dyDescent="0.3">
      <c r="A10" s="33"/>
      <c r="B10" s="33" t="s">
        <v>48</v>
      </c>
      <c r="C10" s="35" t="s">
        <v>372</v>
      </c>
      <c r="D10" s="33">
        <v>9000000</v>
      </c>
      <c r="E10" s="34">
        <v>10</v>
      </c>
      <c r="F10" s="35">
        <v>32</v>
      </c>
      <c r="G10" s="35">
        <v>30</v>
      </c>
      <c r="H10" s="35">
        <v>5</v>
      </c>
      <c r="J10" s="36">
        <f t="shared" si="0"/>
        <v>4.0554825000000001</v>
      </c>
      <c r="K10" s="37">
        <f t="shared" si="1"/>
        <v>0.48064977777777779</v>
      </c>
      <c r="L10" s="46">
        <v>2393664</v>
      </c>
      <c r="M10" s="38">
        <v>4325848</v>
      </c>
      <c r="N10" s="47">
        <v>65.817152300000004</v>
      </c>
      <c r="O10" s="47">
        <v>66.559700399999997</v>
      </c>
      <c r="P10" s="47">
        <v>30.697683600000001</v>
      </c>
      <c r="Q10" s="47">
        <v>44.033647000000002</v>
      </c>
      <c r="R10" s="47">
        <v>44.214323200000003</v>
      </c>
      <c r="S10" s="47">
        <v>44.521447199999997</v>
      </c>
      <c r="T10" s="47">
        <v>28.928224799999999</v>
      </c>
      <c r="U10" s="39">
        <v>1537.09248</v>
      </c>
      <c r="V10" s="39">
        <v>13.3580725</v>
      </c>
      <c r="X10" s="36">
        <f t="shared" si="2"/>
        <v>4.0620525000000001</v>
      </c>
      <c r="Y10" s="37">
        <f t="shared" si="3"/>
        <v>0.48142844444444444</v>
      </c>
      <c r="Z10" s="46">
        <v>2393664</v>
      </c>
      <c r="AA10" s="38">
        <v>4332856</v>
      </c>
      <c r="AB10" s="47">
        <v>65.817152300000004</v>
      </c>
      <c r="AC10" s="47">
        <v>66.559700399999997</v>
      </c>
      <c r="AD10" s="47">
        <v>30.697683600000001</v>
      </c>
      <c r="AE10" s="47">
        <v>44.033647000000002</v>
      </c>
      <c r="AF10" s="47">
        <v>44.214323200000003</v>
      </c>
      <c r="AG10" s="47">
        <v>44.521447199999997</v>
      </c>
      <c r="AH10" s="47">
        <v>28.928224799999999</v>
      </c>
      <c r="AI10" s="39">
        <v>2223.3746190000002</v>
      </c>
      <c r="AJ10" s="39">
        <v>22.011015</v>
      </c>
      <c r="AL10" s="77">
        <f t="array" ref="AL10">IF( OR(AND(ISBLANK(M10:M14)),AND(ISBLANK(AA10:AA14)), AND(ISBLANK(N10:N14)),AND(ISBLANK(AB10:AB14))), "·", bdRateExtend( M10:M14,N10:N14, AA10:AA14,AB10:AB14))</f>
        <v>2.5401223967214115E-4</v>
      </c>
      <c r="AM10" s="77">
        <f t="array" ref="AM10">IF( OR(AND(ISBLANK(M10:M14)),AND(ISBLANK(AA10:AA14)), AND(ISBLANK(O10:O14)),AND(ISBLANK(AC10:AC14))), "·", bdRateExtend( M10:M14,O10:O14, AA10:AA14,AC10:AC14))</f>
        <v>2.5522479860051739E-4</v>
      </c>
      <c r="AN10" s="77">
        <f t="array" ref="AN10">IF( OR(AND(ISBLANK(M10:M14)),AND(ISBLANK(AA10:AA14)), AND(ISBLANK(P10:P14)),AND(ISBLANK(AD10:AD14))), "·", bdRateExtend( M10:M14,P10:P14, AA10:AA14,AD10:AD14))</f>
        <v>9.2970601376296536E-4</v>
      </c>
      <c r="AO10" s="77">
        <f t="array" ref="AO10">IF( OR(AND(ISBLANK(M10:M14)),AND(ISBLANK(AA10:AA14)), AND(ISBLANK(Q10:Q14)),AND(ISBLANK(AE10:AE14))), "·", bdRateExtend( M10:M14,Q10:Q14, AA10:AA14,AE10:AE14))</f>
        <v>9.8489923748434904E-4</v>
      </c>
      <c r="AP10" s="77">
        <f t="array" ref="AP10">IF( OR(AND(ISBLANK(M10:M14)),AND(ISBLANK(AA10:AA14)), AND(ISBLANK(R10:R14)),AND(ISBLANK(AF10:AF14))), "·", bdRateExtend( M10:M14,R10:R14, AA10:AA14,AF10:AF14))</f>
        <v>9.9440841349385245E-4</v>
      </c>
      <c r="AQ10" s="77">
        <f t="array" ref="AQ10">IF( OR(AND(ISBLANK(M10:M14)),AND(ISBLANK(AA10:AA14)), AND(ISBLANK(S10:S14)),AND(ISBLANK(AG10:AG14))), "·", bdRateExtend( M10:M14,S10:S14, AA10:AA14,AG10:AG14))</f>
        <v>2.5017220645096039E-4</v>
      </c>
      <c r="AR10" s="77">
        <f t="array" ref="AR10">IF( OR(AND(ISBLANK(M10:M14)),AND(ISBLANK(AA10:AA14)), AND(ISBLANK(T10:T14)),AND(ISBLANK(AH10:AH14))), "·", bdRateExtend( M10:M14,T10:T14, AA10:AA14,AH10:AH14))</f>
        <v>7.9503580746353997E-4</v>
      </c>
    </row>
    <row r="11" spans="1:44" outlineLevel="1" x14ac:dyDescent="0.3">
      <c r="A11" s="17"/>
      <c r="B11" s="17" t="s">
        <v>48</v>
      </c>
      <c r="C11" s="19" t="s">
        <v>373</v>
      </c>
      <c r="D11" s="17">
        <v>9000000</v>
      </c>
      <c r="E11" s="18">
        <v>10</v>
      </c>
      <c r="F11" s="19">
        <v>32</v>
      </c>
      <c r="G11" s="19">
        <v>30</v>
      </c>
      <c r="H11" s="19">
        <v>9</v>
      </c>
      <c r="J11" s="20">
        <f t="shared" si="0"/>
        <v>6.3326549999999999</v>
      </c>
      <c r="K11" s="21">
        <f t="shared" si="1"/>
        <v>0.75053688888888892</v>
      </c>
      <c r="L11" s="44">
        <v>4847680</v>
      </c>
      <c r="M11" s="22">
        <v>6754832</v>
      </c>
      <c r="N11" s="45">
        <v>70.257469599999993</v>
      </c>
      <c r="O11" s="45">
        <v>71.604535999999996</v>
      </c>
      <c r="P11" s="45">
        <v>32.387899099999998</v>
      </c>
      <c r="Q11" s="45">
        <v>44.876678400000003</v>
      </c>
      <c r="R11" s="45">
        <v>45.196063500000001</v>
      </c>
      <c r="S11" s="45">
        <v>47.194342800000001</v>
      </c>
      <c r="T11" s="45">
        <v>30.948741099999999</v>
      </c>
      <c r="U11" s="23">
        <v>1618.43488</v>
      </c>
      <c r="V11" s="23">
        <v>12.8122433</v>
      </c>
      <c r="X11" s="20">
        <f t="shared" si="2"/>
        <v>6.3417075000000001</v>
      </c>
      <c r="Y11" s="21">
        <f t="shared" si="3"/>
        <v>0.75160977777777782</v>
      </c>
      <c r="Z11" s="44">
        <v>4847680</v>
      </c>
      <c r="AA11" s="22">
        <v>6764488</v>
      </c>
      <c r="AB11" s="45">
        <v>70.257469599999993</v>
      </c>
      <c r="AC11" s="45">
        <v>71.604535999999996</v>
      </c>
      <c r="AD11" s="45">
        <v>32.387899099999998</v>
      </c>
      <c r="AE11" s="45">
        <v>44.876678400000003</v>
      </c>
      <c r="AF11" s="45">
        <v>45.196063500000001</v>
      </c>
      <c r="AG11" s="45">
        <v>47.194342800000001</v>
      </c>
      <c r="AH11" s="45">
        <v>30.948741099999999</v>
      </c>
      <c r="AI11" s="23">
        <v>2247.9928869999999</v>
      </c>
      <c r="AJ11" s="23">
        <v>19.891168</v>
      </c>
      <c r="AL11" s="76"/>
      <c r="AM11" s="76"/>
      <c r="AN11" s="76"/>
      <c r="AO11" s="76"/>
      <c r="AP11" s="76"/>
      <c r="AQ11" s="76"/>
      <c r="AR11" s="76"/>
    </row>
    <row r="12" spans="1:44" outlineLevel="1" x14ac:dyDescent="0.3">
      <c r="A12" s="33"/>
      <c r="B12" s="33" t="s">
        <v>48</v>
      </c>
      <c r="C12" s="35" t="s">
        <v>374</v>
      </c>
      <c r="D12" s="33">
        <v>9000000</v>
      </c>
      <c r="E12" s="34">
        <v>10</v>
      </c>
      <c r="F12" s="35">
        <v>32</v>
      </c>
      <c r="G12" s="35">
        <v>30</v>
      </c>
      <c r="H12" s="35">
        <v>12</v>
      </c>
      <c r="J12" s="36">
        <f t="shared" si="0"/>
        <v>8.5380524999999992</v>
      </c>
      <c r="K12" s="37">
        <f t="shared" si="1"/>
        <v>1.0119173333333333</v>
      </c>
      <c r="L12" s="46">
        <v>4847680</v>
      </c>
      <c r="M12" s="38">
        <v>9107256</v>
      </c>
      <c r="N12" s="47">
        <v>71.287326699999994</v>
      </c>
      <c r="O12" s="47">
        <v>72.784621999999999</v>
      </c>
      <c r="P12" s="47">
        <v>33.897709300000002</v>
      </c>
      <c r="Q12" s="47">
        <v>45.140223499999998</v>
      </c>
      <c r="R12" s="47">
        <v>45.502935700000002</v>
      </c>
      <c r="S12" s="47">
        <v>47.687336199999997</v>
      </c>
      <c r="T12" s="47">
        <v>32.122852600000002</v>
      </c>
      <c r="U12" s="39">
        <v>1618.0505499999999</v>
      </c>
      <c r="V12" s="39">
        <v>13.1004421</v>
      </c>
      <c r="X12" s="36">
        <f t="shared" si="2"/>
        <v>8.5462500000000006</v>
      </c>
      <c r="Y12" s="37">
        <f t="shared" si="3"/>
        <v>1.0128888888888889</v>
      </c>
      <c r="Z12" s="46">
        <v>4847680</v>
      </c>
      <c r="AA12" s="38">
        <v>9116000</v>
      </c>
      <c r="AB12" s="47">
        <v>71.287326699999994</v>
      </c>
      <c r="AC12" s="47">
        <v>72.784621999999999</v>
      </c>
      <c r="AD12" s="47">
        <v>33.897709300000002</v>
      </c>
      <c r="AE12" s="47">
        <v>45.140223499999998</v>
      </c>
      <c r="AF12" s="47">
        <v>45.502935700000002</v>
      </c>
      <c r="AG12" s="47">
        <v>47.687336199999997</v>
      </c>
      <c r="AH12" s="47">
        <v>32.122852600000002</v>
      </c>
      <c r="AI12" s="39">
        <v>2434.0597550000002</v>
      </c>
      <c r="AJ12" s="39">
        <v>19.958359000000002</v>
      </c>
      <c r="AL12" s="77"/>
      <c r="AM12" s="77"/>
      <c r="AN12" s="77"/>
      <c r="AO12" s="77"/>
      <c r="AP12" s="77"/>
      <c r="AQ12" s="77"/>
      <c r="AR12" s="77"/>
    </row>
    <row r="13" spans="1:44" outlineLevel="1" x14ac:dyDescent="0.3">
      <c r="A13" s="17"/>
      <c r="B13" s="17" t="s">
        <v>48</v>
      </c>
      <c r="C13" s="19" t="s">
        <v>375</v>
      </c>
      <c r="D13" s="17">
        <v>9000000</v>
      </c>
      <c r="E13" s="18">
        <v>10</v>
      </c>
      <c r="F13" s="19">
        <v>32</v>
      </c>
      <c r="G13" s="19">
        <v>30</v>
      </c>
      <c r="H13" s="19">
        <v>15</v>
      </c>
      <c r="J13" s="20">
        <f t="shared" si="0"/>
        <v>11.6392875</v>
      </c>
      <c r="K13" s="21">
        <f t="shared" si="1"/>
        <v>1.3794711111111111</v>
      </c>
      <c r="L13" s="44">
        <v>4847680</v>
      </c>
      <c r="M13" s="22">
        <v>12415240</v>
      </c>
      <c r="N13" s="45">
        <v>72.269535399999995</v>
      </c>
      <c r="O13" s="45">
        <v>73.917459100000002</v>
      </c>
      <c r="P13" s="45">
        <v>35.375507399999996</v>
      </c>
      <c r="Q13" s="45">
        <v>45.819220000000001</v>
      </c>
      <c r="R13" s="45">
        <v>46.276391199999999</v>
      </c>
      <c r="S13" s="45">
        <v>48.141737999999997</v>
      </c>
      <c r="T13" s="45">
        <v>33.2378857</v>
      </c>
      <c r="U13" s="23">
        <v>1531.6086499999999</v>
      </c>
      <c r="V13" s="23">
        <v>13.114143</v>
      </c>
      <c r="X13" s="20">
        <f t="shared" si="2"/>
        <v>11.647035000000001</v>
      </c>
      <c r="Y13" s="21">
        <f t="shared" si="3"/>
        <v>1.3803893333333332</v>
      </c>
      <c r="Z13" s="44">
        <v>4847680</v>
      </c>
      <c r="AA13" s="22">
        <v>12423504</v>
      </c>
      <c r="AB13" s="45">
        <v>72.269535399999995</v>
      </c>
      <c r="AC13" s="45">
        <v>73.917459100000002</v>
      </c>
      <c r="AD13" s="45">
        <v>35.375507399999996</v>
      </c>
      <c r="AE13" s="45">
        <v>45.819220000000001</v>
      </c>
      <c r="AF13" s="45">
        <v>46.276391199999999</v>
      </c>
      <c r="AG13" s="45">
        <v>48.141737999999997</v>
      </c>
      <c r="AH13" s="45">
        <v>33.2378857</v>
      </c>
      <c r="AI13" s="23">
        <v>2397.2771130000001</v>
      </c>
      <c r="AJ13" s="23">
        <v>21.392707000000001</v>
      </c>
      <c r="AL13" s="76"/>
      <c r="AM13" s="76"/>
      <c r="AN13" s="76"/>
      <c r="AO13" s="76"/>
      <c r="AP13" s="76"/>
      <c r="AQ13" s="76"/>
      <c r="AR13" s="76"/>
    </row>
    <row r="14" spans="1:44" ht="15.75" customHeight="1" outlineLevel="1" thickBot="1" x14ac:dyDescent="0.35">
      <c r="A14" s="25"/>
      <c r="B14" s="25" t="s">
        <v>48</v>
      </c>
      <c r="C14" s="27" t="s">
        <v>376</v>
      </c>
      <c r="D14" s="25">
        <v>9000000</v>
      </c>
      <c r="E14" s="26">
        <v>10</v>
      </c>
      <c r="F14" s="27">
        <v>32</v>
      </c>
      <c r="G14" s="27">
        <v>30</v>
      </c>
      <c r="H14" s="27">
        <v>22</v>
      </c>
      <c r="J14" s="28">
        <f t="shared" si="0"/>
        <v>23.99295</v>
      </c>
      <c r="K14" s="29">
        <f t="shared" si="1"/>
        <v>2.8436088888888889</v>
      </c>
      <c r="L14" s="57">
        <v>1279214</v>
      </c>
      <c r="M14" s="30">
        <v>25592480</v>
      </c>
      <c r="N14" s="58">
        <v>999.99</v>
      </c>
      <c r="O14" s="58">
        <v>999.99</v>
      </c>
      <c r="P14" s="58">
        <v>37.7693236</v>
      </c>
      <c r="Q14" s="58">
        <v>46.647306499999999</v>
      </c>
      <c r="R14" s="58">
        <v>47.199492300000003</v>
      </c>
      <c r="S14" s="58">
        <v>999.99</v>
      </c>
      <c r="T14" s="58">
        <v>37.637568600000002</v>
      </c>
      <c r="U14" s="31">
        <v>1198.1823999999999</v>
      </c>
      <c r="V14" s="31">
        <v>14.665463900000001</v>
      </c>
      <c r="X14" s="28">
        <f t="shared" si="2"/>
        <v>23.9954775</v>
      </c>
      <c r="Y14" s="29">
        <f t="shared" si="3"/>
        <v>2.8439084444444442</v>
      </c>
      <c r="Z14" s="57">
        <v>1279214</v>
      </c>
      <c r="AA14" s="30">
        <v>25595176</v>
      </c>
      <c r="AB14" s="58">
        <v>999.99</v>
      </c>
      <c r="AC14" s="58">
        <v>999.99</v>
      </c>
      <c r="AD14" s="58">
        <v>37.7693236</v>
      </c>
      <c r="AE14" s="58">
        <v>46.647306499999999</v>
      </c>
      <c r="AF14" s="58">
        <v>47.199492300000003</v>
      </c>
      <c r="AG14" s="58">
        <v>999.99</v>
      </c>
      <c r="AH14" s="58">
        <v>37.637568600000002</v>
      </c>
      <c r="AI14" s="31">
        <v>1732.7197839999999</v>
      </c>
      <c r="AJ14" s="31">
        <v>22.528575</v>
      </c>
      <c r="AL14" s="79"/>
      <c r="AM14" s="79"/>
      <c r="AN14" s="79"/>
      <c r="AO14" s="79"/>
      <c r="AP14" s="79"/>
      <c r="AQ14" s="79"/>
      <c r="AR14" s="79"/>
    </row>
    <row r="15" spans="1:44" x14ac:dyDescent="0.3">
      <c r="A15" s="17" t="s">
        <v>176</v>
      </c>
      <c r="B15" s="17" t="s">
        <v>53</v>
      </c>
      <c r="C15" s="19" t="s">
        <v>372</v>
      </c>
      <c r="D15" s="17">
        <v>11842002</v>
      </c>
      <c r="E15" s="18">
        <v>12</v>
      </c>
      <c r="F15" s="19">
        <v>32</v>
      </c>
      <c r="G15" s="19">
        <v>30</v>
      </c>
      <c r="H15" s="19">
        <v>3</v>
      </c>
      <c r="J15" s="20">
        <f t="shared" si="0"/>
        <v>3.9783149999999998</v>
      </c>
      <c r="K15" s="21">
        <f t="shared" si="1"/>
        <v>0.35834616477855685</v>
      </c>
      <c r="L15" s="44">
        <v>2419456</v>
      </c>
      <c r="M15" s="22">
        <v>4243536</v>
      </c>
      <c r="N15" s="45">
        <v>71.577144700000005</v>
      </c>
      <c r="O15" s="45">
        <v>72.834174599999997</v>
      </c>
      <c r="P15" s="45">
        <v>36.932392700000001</v>
      </c>
      <c r="Q15" s="45">
        <v>43.595014999999997</v>
      </c>
      <c r="R15" s="45">
        <v>45.356196300000001</v>
      </c>
      <c r="S15" s="45">
        <v>45.535561299999998</v>
      </c>
      <c r="T15" s="45">
        <v>32.868556300000002</v>
      </c>
      <c r="U15" s="23">
        <v>1363.675</v>
      </c>
      <c r="V15" s="23">
        <v>13.1538325</v>
      </c>
      <c r="X15" s="20">
        <f t="shared" si="2"/>
        <v>3.9851025</v>
      </c>
      <c r="Y15" s="21">
        <f t="shared" si="3"/>
        <v>0.35895754788759537</v>
      </c>
      <c r="Z15" s="44">
        <v>2419456</v>
      </c>
      <c r="AA15" s="22">
        <v>4250776</v>
      </c>
      <c r="AB15" s="45">
        <v>71.577144700000005</v>
      </c>
      <c r="AC15" s="45">
        <v>72.834174599999997</v>
      </c>
      <c r="AD15" s="45">
        <v>36.932392700000001</v>
      </c>
      <c r="AE15" s="45">
        <v>43.595014999999997</v>
      </c>
      <c r="AF15" s="45">
        <v>45.356196300000001</v>
      </c>
      <c r="AG15" s="45">
        <v>45.535561299999998</v>
      </c>
      <c r="AH15" s="45">
        <v>32.868556300000002</v>
      </c>
      <c r="AI15" s="23">
        <v>2055.7709030000001</v>
      </c>
      <c r="AJ15" s="23">
        <v>19.353949</v>
      </c>
      <c r="AL15" s="76">
        <f t="array" ref="AL15">IF( OR(AND(ISBLANK(M15:M19)),AND(ISBLANK(AA15:AA19)), AND(ISBLANK(N15:N19)),AND(ISBLANK(AB15:AB19))), "·", bdRateExtend( M15:M19,N15:N19, AA15:AA19,AB15:AB19))</f>
        <v>1.3106076096192076E-4</v>
      </c>
      <c r="AM15" s="76">
        <f t="array" ref="AM15">IF( OR(AND(ISBLANK(M15:M19)),AND(ISBLANK(AA15:AA19)), AND(ISBLANK(O15:O19)),AND(ISBLANK(AC15:AC19))), "·", bdRateExtend( M15:M19,O15:O19, AA15:AA19,AC15:AC19))</f>
        <v>1.3206181239588943E-4</v>
      </c>
      <c r="AN15" s="76">
        <f t="array" ref="AN15">IF( OR(AND(ISBLANK(M15:M19)),AND(ISBLANK(AA15:AA19)), AND(ISBLANK(P15:P19)),AND(ISBLANK(AD15:AD19))), "·", bdRateExtend( M15:M19,P15:P19, AA15:AA19,AD15:AD19))</f>
        <v>1.2945181558357E-3</v>
      </c>
      <c r="AO15" s="76">
        <f t="array" ref="AO15">IF( OR(AND(ISBLANK(M15:M19)),AND(ISBLANK(AA15:AA19)), AND(ISBLANK(Q15:Q19)),AND(ISBLANK(AE15:AE19))), "·", bdRateExtend( M15:M19,Q15:Q19, AA15:AA19,AE15:AE19))</f>
        <v>1.1573645222606732E-3</v>
      </c>
      <c r="AP15" s="76">
        <f t="array" ref="AP15">IF( OR(AND(ISBLANK(M15:M19)),AND(ISBLANK(AA15:AA19)), AND(ISBLANK(R15:R19)),AND(ISBLANK(AF15:AF19))), "·", bdRateExtend( M15:M19,R15:R19, AA15:AA19,AF15:AF19))</f>
        <v>1.1680760304493276E-3</v>
      </c>
      <c r="AQ15" s="76">
        <f t="array" ref="AQ15">IF( OR(AND(ISBLANK(M15:M19)),AND(ISBLANK(AA15:AA19)), AND(ISBLANK(S15:S19)),AND(ISBLANK(AG15:AG19))), "·", bdRateExtend( M15:M19,S15:S19, AA15:AA19,AG15:AG19))</f>
        <v>1.2742927293851736E-4</v>
      </c>
      <c r="AR15" s="76">
        <f t="array" ref="AR15">IF( OR(AND(ISBLANK(M15:M19)),AND(ISBLANK(AA15:AA19)), AND(ISBLANK(T15:T19)),AND(ISBLANK(AH15:AH19))), "·", bdRateExtend( M15:M19,T15:T19, AA15:AA19,AH15:AH19))</f>
        <v>7.7683240403358944E-4</v>
      </c>
    </row>
    <row r="16" spans="1:44" outlineLevel="1" x14ac:dyDescent="0.3">
      <c r="A16" s="33"/>
      <c r="B16" s="33" t="s">
        <v>53</v>
      </c>
      <c r="C16" s="35" t="s">
        <v>373</v>
      </c>
      <c r="D16" s="33">
        <v>11842002</v>
      </c>
      <c r="E16" s="34">
        <v>12</v>
      </c>
      <c r="F16" s="35">
        <v>32</v>
      </c>
      <c r="G16" s="35">
        <v>30</v>
      </c>
      <c r="H16" s="35">
        <v>5</v>
      </c>
      <c r="J16" s="36">
        <f t="shared" si="0"/>
        <v>6.8443350000000001</v>
      </c>
      <c r="K16" s="37">
        <f t="shared" si="1"/>
        <v>0.61650251367969711</v>
      </c>
      <c r="L16" s="46">
        <v>4841472</v>
      </c>
      <c r="M16" s="38">
        <v>7300624</v>
      </c>
      <c r="N16" s="47">
        <v>75.305827199999996</v>
      </c>
      <c r="O16" s="47">
        <v>77.002595600000006</v>
      </c>
      <c r="P16" s="47">
        <v>39.448719099999998</v>
      </c>
      <c r="Q16" s="47">
        <v>44.300480999999998</v>
      </c>
      <c r="R16" s="47">
        <v>46.7546252</v>
      </c>
      <c r="S16" s="47">
        <v>47.5536326</v>
      </c>
      <c r="T16" s="47">
        <v>35.488819599999999</v>
      </c>
      <c r="U16" s="39">
        <v>1386.0046400000001</v>
      </c>
      <c r="V16" s="39">
        <v>13.017192100000001</v>
      </c>
      <c r="X16" s="36">
        <f t="shared" si="2"/>
        <v>6.8528099999999998</v>
      </c>
      <c r="Y16" s="37">
        <f t="shared" si="3"/>
        <v>0.61726589811418708</v>
      </c>
      <c r="Z16" s="46">
        <v>4841472</v>
      </c>
      <c r="AA16" s="38">
        <v>7309664</v>
      </c>
      <c r="AB16" s="47">
        <v>75.305827199999996</v>
      </c>
      <c r="AC16" s="47">
        <v>77.002595600000006</v>
      </c>
      <c r="AD16" s="47">
        <v>39.448719099999998</v>
      </c>
      <c r="AE16" s="47">
        <v>44.300480999999998</v>
      </c>
      <c r="AF16" s="47">
        <v>46.7546252</v>
      </c>
      <c r="AG16" s="47">
        <v>47.5536326</v>
      </c>
      <c r="AH16" s="47">
        <v>35.488819599999999</v>
      </c>
      <c r="AI16" s="39">
        <v>2237.1128869999998</v>
      </c>
      <c r="AJ16" s="39">
        <v>23.529682000000001</v>
      </c>
      <c r="AL16" s="77"/>
      <c r="AM16" s="77"/>
      <c r="AN16" s="77"/>
      <c r="AO16" s="77"/>
      <c r="AP16" s="77"/>
      <c r="AQ16" s="77"/>
      <c r="AR16" s="77"/>
    </row>
    <row r="17" spans="1:44" outlineLevel="1" x14ac:dyDescent="0.3">
      <c r="A17" s="17"/>
      <c r="B17" s="17" t="s">
        <v>53</v>
      </c>
      <c r="C17" s="19" t="s">
        <v>374</v>
      </c>
      <c r="D17" s="17">
        <v>11842002</v>
      </c>
      <c r="E17" s="18">
        <v>12</v>
      </c>
      <c r="F17" s="19">
        <v>32</v>
      </c>
      <c r="G17" s="19">
        <v>30</v>
      </c>
      <c r="H17" s="19">
        <v>10</v>
      </c>
      <c r="J17" s="20">
        <f t="shared" si="0"/>
        <v>10.875315000000001</v>
      </c>
      <c r="K17" s="21">
        <f t="shared" si="1"/>
        <v>0.97959247093523549</v>
      </c>
      <c r="L17" s="44">
        <v>4841472</v>
      </c>
      <c r="M17" s="22">
        <v>11600336</v>
      </c>
      <c r="N17" s="45">
        <v>76.645069199999995</v>
      </c>
      <c r="O17" s="45">
        <v>78.549478300000004</v>
      </c>
      <c r="P17" s="45">
        <v>41.222541900000003</v>
      </c>
      <c r="Q17" s="45">
        <v>45.180468400000002</v>
      </c>
      <c r="R17" s="45">
        <v>48.413318099999998</v>
      </c>
      <c r="S17" s="45">
        <v>48.182346699999997</v>
      </c>
      <c r="T17" s="45">
        <v>36.641098100000001</v>
      </c>
      <c r="U17" s="23">
        <v>1411.1880699999999</v>
      </c>
      <c r="V17" s="23">
        <v>13.5242392</v>
      </c>
      <c r="X17" s="20">
        <f t="shared" si="2"/>
        <v>10.884449999999999</v>
      </c>
      <c r="Y17" s="21">
        <f t="shared" si="3"/>
        <v>0.98041530477701322</v>
      </c>
      <c r="Z17" s="44">
        <v>4841472</v>
      </c>
      <c r="AA17" s="22">
        <v>11610080</v>
      </c>
      <c r="AB17" s="45">
        <v>76.645069199999995</v>
      </c>
      <c r="AC17" s="45">
        <v>78.549478300000004</v>
      </c>
      <c r="AD17" s="45">
        <v>41.222541900000003</v>
      </c>
      <c r="AE17" s="45">
        <v>45.180468400000002</v>
      </c>
      <c r="AF17" s="45">
        <v>48.413318099999998</v>
      </c>
      <c r="AG17" s="45">
        <v>48.182346699999997</v>
      </c>
      <c r="AH17" s="45">
        <v>36.641098100000001</v>
      </c>
      <c r="AI17" s="23">
        <v>2255.868813</v>
      </c>
      <c r="AJ17" s="23">
        <v>21.954387000000001</v>
      </c>
      <c r="AL17" s="76"/>
      <c r="AM17" s="76"/>
      <c r="AN17" s="76"/>
      <c r="AO17" s="76"/>
      <c r="AP17" s="76"/>
      <c r="AQ17" s="76"/>
      <c r="AR17" s="76"/>
    </row>
    <row r="18" spans="1:44" outlineLevel="1" x14ac:dyDescent="0.3">
      <c r="A18" s="33"/>
      <c r="B18" s="33" t="s">
        <v>53</v>
      </c>
      <c r="C18" s="35" t="s">
        <v>375</v>
      </c>
      <c r="D18" s="33">
        <v>11842002</v>
      </c>
      <c r="E18" s="34">
        <v>12</v>
      </c>
      <c r="F18" s="35">
        <v>32</v>
      </c>
      <c r="G18" s="35">
        <v>30</v>
      </c>
      <c r="H18" s="35">
        <v>14</v>
      </c>
      <c r="J18" s="36">
        <f t="shared" si="0"/>
        <v>16.097887499999999</v>
      </c>
      <c r="K18" s="37">
        <f t="shared" si="1"/>
        <v>1.4500149552415209</v>
      </c>
      <c r="L18" s="46">
        <v>605377</v>
      </c>
      <c r="M18" s="38">
        <v>17171080</v>
      </c>
      <c r="N18" s="47">
        <v>83.638361700000004</v>
      </c>
      <c r="O18" s="47">
        <v>87.131125900000001</v>
      </c>
      <c r="P18" s="47">
        <v>41.595456900000002</v>
      </c>
      <c r="Q18" s="47">
        <v>45.231833299999998</v>
      </c>
      <c r="R18" s="47">
        <v>48.495775799999997</v>
      </c>
      <c r="S18" s="47">
        <v>54.069744</v>
      </c>
      <c r="T18" s="47">
        <v>39.906863299999998</v>
      </c>
      <c r="U18" s="39">
        <v>2365.1200699999999</v>
      </c>
      <c r="V18" s="39">
        <v>12.857362999999999</v>
      </c>
      <c r="X18" s="36">
        <f t="shared" si="2"/>
        <v>16.100415000000002</v>
      </c>
      <c r="Y18" s="37">
        <f t="shared" si="3"/>
        <v>1.450242619448975</v>
      </c>
      <c r="Z18" s="46">
        <v>605377</v>
      </c>
      <c r="AA18" s="38">
        <v>17173776</v>
      </c>
      <c r="AB18" s="47">
        <v>83.638361700000004</v>
      </c>
      <c r="AC18" s="47">
        <v>87.131125900000001</v>
      </c>
      <c r="AD18" s="47">
        <v>41.595456900000002</v>
      </c>
      <c r="AE18" s="47">
        <v>45.231833299999998</v>
      </c>
      <c r="AF18" s="47">
        <v>48.495775799999997</v>
      </c>
      <c r="AG18" s="47">
        <v>54.069744</v>
      </c>
      <c r="AH18" s="47">
        <v>39.906863299999998</v>
      </c>
      <c r="AI18" s="39">
        <v>3420.395278</v>
      </c>
      <c r="AJ18" s="39">
        <v>17.880759000000001</v>
      </c>
      <c r="AL18" s="77"/>
      <c r="AM18" s="77"/>
      <c r="AN18" s="77"/>
      <c r="AO18" s="77"/>
      <c r="AP18" s="77"/>
      <c r="AQ18" s="77"/>
      <c r="AR18" s="77"/>
    </row>
    <row r="19" spans="1:44" ht="15.75" customHeight="1" outlineLevel="1" thickBot="1" x14ac:dyDescent="0.35">
      <c r="A19" s="17"/>
      <c r="B19" s="48" t="s">
        <v>53</v>
      </c>
      <c r="C19" s="49" t="s">
        <v>376</v>
      </c>
      <c r="D19" s="48">
        <v>11842002</v>
      </c>
      <c r="E19" s="50">
        <v>12</v>
      </c>
      <c r="F19" s="49">
        <v>32</v>
      </c>
      <c r="G19" s="49">
        <v>30</v>
      </c>
      <c r="H19" s="49">
        <v>21</v>
      </c>
      <c r="J19" s="51">
        <f t="shared" si="0"/>
        <v>22.501560000000001</v>
      </c>
      <c r="K19" s="52">
        <f t="shared" si="1"/>
        <v>2.0268248561349678</v>
      </c>
      <c r="L19" s="53">
        <v>1261248</v>
      </c>
      <c r="M19" s="54">
        <v>24001664</v>
      </c>
      <c r="N19" s="55">
        <v>999.99</v>
      </c>
      <c r="O19" s="55">
        <v>999.99</v>
      </c>
      <c r="P19" s="55">
        <v>41.545656999999999</v>
      </c>
      <c r="Q19" s="55">
        <v>45.126942900000003</v>
      </c>
      <c r="R19" s="55">
        <v>48.327106200000003</v>
      </c>
      <c r="S19" s="55">
        <v>999.99</v>
      </c>
      <c r="T19" s="55">
        <v>41.688693000000001</v>
      </c>
      <c r="U19" s="56">
        <v>1211.0350000000001</v>
      </c>
      <c r="V19" s="56">
        <v>14.657791899999999</v>
      </c>
      <c r="X19" s="51">
        <f t="shared" si="2"/>
        <v>22.504087500000001</v>
      </c>
      <c r="Y19" s="52">
        <f t="shared" si="3"/>
        <v>2.0270525203424219</v>
      </c>
      <c r="Z19" s="53">
        <v>1261248</v>
      </c>
      <c r="AA19" s="54">
        <v>24004360</v>
      </c>
      <c r="AB19" s="55">
        <v>999.99</v>
      </c>
      <c r="AC19" s="55">
        <v>999.99</v>
      </c>
      <c r="AD19" s="55">
        <v>41.545656999999999</v>
      </c>
      <c r="AE19" s="55">
        <v>45.126942900000003</v>
      </c>
      <c r="AF19" s="55">
        <v>48.327106200000003</v>
      </c>
      <c r="AG19" s="55">
        <v>999.99</v>
      </c>
      <c r="AH19" s="55">
        <v>41.688693000000001</v>
      </c>
      <c r="AI19" s="56">
        <v>1812.938574</v>
      </c>
      <c r="AJ19" s="56">
        <v>22.217960999999999</v>
      </c>
      <c r="AL19" s="78"/>
      <c r="AM19" s="78"/>
      <c r="AN19" s="78"/>
      <c r="AO19" s="78"/>
      <c r="AP19" s="78"/>
      <c r="AQ19" s="78"/>
      <c r="AR19" s="78"/>
    </row>
    <row r="20" spans="1:44" x14ac:dyDescent="0.3">
      <c r="A20" s="33"/>
      <c r="B20" s="33" t="s">
        <v>58</v>
      </c>
      <c r="C20" s="35" t="s">
        <v>372</v>
      </c>
      <c r="D20" s="33">
        <v>11812090</v>
      </c>
      <c r="E20" s="34">
        <v>12</v>
      </c>
      <c r="F20" s="35">
        <v>32</v>
      </c>
      <c r="G20" s="35">
        <v>30</v>
      </c>
      <c r="H20" s="35">
        <v>3</v>
      </c>
      <c r="J20" s="36">
        <f t="shared" si="0"/>
        <v>2.9959574999999998</v>
      </c>
      <c r="K20" s="37">
        <f t="shared" si="1"/>
        <v>0.27054382416659539</v>
      </c>
      <c r="L20" s="46">
        <v>2417984</v>
      </c>
      <c r="M20" s="38">
        <v>3195688</v>
      </c>
      <c r="N20" s="47">
        <v>70.218157300000001</v>
      </c>
      <c r="O20" s="47">
        <v>71.385570299999998</v>
      </c>
      <c r="P20" s="47">
        <v>33.979962999999998</v>
      </c>
      <c r="Q20" s="47">
        <v>43.326638299999999</v>
      </c>
      <c r="R20" s="47">
        <v>44.666333700000003</v>
      </c>
      <c r="S20" s="47">
        <v>47.760446299999998</v>
      </c>
      <c r="T20" s="47">
        <v>30.752741499999999</v>
      </c>
      <c r="U20" s="39">
        <v>1280.8491799999999</v>
      </c>
      <c r="V20" s="39">
        <v>12.8899808</v>
      </c>
      <c r="X20" s="36">
        <f t="shared" si="2"/>
        <v>3.0030074999999998</v>
      </c>
      <c r="Y20" s="37">
        <f t="shared" si="3"/>
        <v>0.27118046002019963</v>
      </c>
      <c r="Z20" s="46">
        <v>2417984</v>
      </c>
      <c r="AA20" s="38">
        <v>3203208</v>
      </c>
      <c r="AB20" s="47">
        <v>70.218157300000001</v>
      </c>
      <c r="AC20" s="47">
        <v>71.385570299999998</v>
      </c>
      <c r="AD20" s="47">
        <v>33.979962999999998</v>
      </c>
      <c r="AE20" s="47">
        <v>43.326638299999999</v>
      </c>
      <c r="AF20" s="47">
        <v>44.666333700000003</v>
      </c>
      <c r="AG20" s="47">
        <v>47.760446299999998</v>
      </c>
      <c r="AH20" s="47">
        <v>30.752741499999999</v>
      </c>
      <c r="AI20" s="39">
        <v>1936.076458</v>
      </c>
      <c r="AJ20" s="39">
        <v>22.749807000000001</v>
      </c>
      <c r="AL20" s="77">
        <f t="array" ref="AL20">IF( OR(AND(ISBLANK(M20:M24)),AND(ISBLANK(AA20:AA24)), AND(ISBLANK(N20:N24)),AND(ISBLANK(AB20:AB24))), "·", bdRateExtend( M20:M24,N20:N24, AA20:AA24,AB20:AB24))</f>
        <v>2.8160929961562609E-4</v>
      </c>
      <c r="AM20" s="77">
        <f t="array" ref="AM20">IF( OR(AND(ISBLANK(M20:M24)),AND(ISBLANK(AA20:AA24)), AND(ISBLANK(O20:O24)),AND(ISBLANK(AC20:AC24))), "·", bdRateExtend( M20:M24,O20:O24, AA20:AA24,AC20:AC24))</f>
        <v>2.8276451727982099E-4</v>
      </c>
      <c r="AN20" s="77">
        <f t="array" ref="AN20">IF( OR(AND(ISBLANK(M20:M24)),AND(ISBLANK(AA20:AA24)), AND(ISBLANK(P20:P24)),AND(ISBLANK(AD20:AD24))), "·", bdRateExtend( M20:M24,P20:P24, AA20:AA24,AD20:AD24))</f>
        <v>1.4044058480553456E-3</v>
      </c>
      <c r="AO20" s="77">
        <f t="array" ref="AO20">IF( OR(AND(ISBLANK(M20:M24)),AND(ISBLANK(AA20:AA24)), AND(ISBLANK(Q20:Q24)),AND(ISBLANK(AE20:AE24))), "·", bdRateExtend( M20:M24,Q20:Q24, AA20:AA24,AE20:AE24))</f>
        <v>1.2606972483659717E-3</v>
      </c>
      <c r="AP20" s="77">
        <f t="array" ref="AP20">IF( OR(AND(ISBLANK(M20:M24)),AND(ISBLANK(AA20:AA24)), AND(ISBLANK(R20:R24)),AND(ISBLANK(AF20:AF24))), "·", bdRateExtend( M20:M24,R20:R24, AA20:AA24,AF20:AF24))</f>
        <v>1.2875014563664688E-3</v>
      </c>
      <c r="AQ20" s="77">
        <f t="array" ref="AQ20">IF( OR(AND(ISBLANK(M20:M24)),AND(ISBLANK(AA20:AA24)), AND(ISBLANK(S20:S24)),AND(ISBLANK(AG20:AG24))), "·", bdRateExtend( M20:M24,S20:S24, AA20:AA24,AG20:AG24))</f>
        <v>2.7763623253851399E-4</v>
      </c>
      <c r="AR20" s="77">
        <f t="array" ref="AR20">IF( OR(AND(ISBLANK(M20:M24)),AND(ISBLANK(AA20:AA24)), AND(ISBLANK(T20:T24)),AND(ISBLANK(AH20:AH24))), "·", bdRateExtend( M20:M24,T20:T24, AA20:AA24,AH20:AH24))</f>
        <v>8.7341477996383254E-4</v>
      </c>
    </row>
    <row r="21" spans="1:44" outlineLevel="1" x14ac:dyDescent="0.3">
      <c r="A21" s="17"/>
      <c r="B21" s="17" t="s">
        <v>58</v>
      </c>
      <c r="C21" s="19" t="s">
        <v>373</v>
      </c>
      <c r="D21" s="17">
        <v>11812090</v>
      </c>
      <c r="E21" s="18">
        <v>12</v>
      </c>
      <c r="F21" s="19">
        <v>32</v>
      </c>
      <c r="G21" s="19">
        <v>30</v>
      </c>
      <c r="H21" s="19">
        <v>5</v>
      </c>
      <c r="J21" s="20">
        <f t="shared" si="0"/>
        <v>4.4829524999999997</v>
      </c>
      <c r="K21" s="21">
        <f t="shared" si="1"/>
        <v>0.4048238711354214</v>
      </c>
      <c r="L21" s="44">
        <v>2417984</v>
      </c>
      <c r="M21" s="22">
        <v>4781816</v>
      </c>
      <c r="N21" s="45">
        <v>71.586763000000005</v>
      </c>
      <c r="O21" s="45">
        <v>72.899730599999998</v>
      </c>
      <c r="P21" s="45">
        <v>36.455519600000002</v>
      </c>
      <c r="Q21" s="45">
        <v>43.7766357</v>
      </c>
      <c r="R21" s="45">
        <v>45.554348500000003</v>
      </c>
      <c r="S21" s="45">
        <v>48.474926199999999</v>
      </c>
      <c r="T21" s="45">
        <v>32.1722313</v>
      </c>
      <c r="U21" s="23">
        <v>1287.74955</v>
      </c>
      <c r="V21" s="23">
        <v>13.162493599999999</v>
      </c>
      <c r="X21" s="20">
        <f t="shared" si="2"/>
        <v>4.4898449999999999</v>
      </c>
      <c r="Y21" s="21">
        <f t="shared" si="3"/>
        <v>0.40544628427314727</v>
      </c>
      <c r="Z21" s="44">
        <v>2417984</v>
      </c>
      <c r="AA21" s="22">
        <v>4789168</v>
      </c>
      <c r="AB21" s="45">
        <v>71.586763000000005</v>
      </c>
      <c r="AC21" s="45">
        <v>72.899730599999998</v>
      </c>
      <c r="AD21" s="45">
        <v>36.455519600000002</v>
      </c>
      <c r="AE21" s="45">
        <v>43.7766357</v>
      </c>
      <c r="AF21" s="45">
        <v>45.554348500000003</v>
      </c>
      <c r="AG21" s="45">
        <v>48.474926199999999</v>
      </c>
      <c r="AH21" s="45">
        <v>32.1722313</v>
      </c>
      <c r="AI21" s="23">
        <v>1948.247987</v>
      </c>
      <c r="AJ21" s="23">
        <v>21.677336</v>
      </c>
      <c r="AL21" s="76"/>
      <c r="AM21" s="76"/>
      <c r="AN21" s="76"/>
      <c r="AO21" s="76"/>
      <c r="AP21" s="76"/>
      <c r="AQ21" s="76"/>
      <c r="AR21" s="76"/>
    </row>
    <row r="22" spans="1:44" outlineLevel="1" x14ac:dyDescent="0.3">
      <c r="A22" s="33"/>
      <c r="B22" s="33" t="s">
        <v>58</v>
      </c>
      <c r="C22" s="35" t="s">
        <v>374</v>
      </c>
      <c r="D22" s="33">
        <v>11812090</v>
      </c>
      <c r="E22" s="34">
        <v>12</v>
      </c>
      <c r="F22" s="35">
        <v>32</v>
      </c>
      <c r="G22" s="35">
        <v>30</v>
      </c>
      <c r="H22" s="35">
        <v>10</v>
      </c>
      <c r="J22" s="36">
        <f t="shared" si="0"/>
        <v>7.5830475000000002</v>
      </c>
      <c r="K22" s="37">
        <f t="shared" si="1"/>
        <v>0.68477161958637289</v>
      </c>
      <c r="L22" s="46">
        <v>4836096</v>
      </c>
      <c r="M22" s="38">
        <v>8088584</v>
      </c>
      <c r="N22" s="47">
        <v>75.188922700000006</v>
      </c>
      <c r="O22" s="47">
        <v>76.987745899999993</v>
      </c>
      <c r="P22" s="47">
        <v>39.095718099999999</v>
      </c>
      <c r="Q22" s="47">
        <v>44.546574100000001</v>
      </c>
      <c r="R22" s="47">
        <v>46.844578800000001</v>
      </c>
      <c r="S22" s="47">
        <v>50.455557200000001</v>
      </c>
      <c r="T22" s="47">
        <v>34.886436699999997</v>
      </c>
      <c r="U22" s="39">
        <v>1311.11007</v>
      </c>
      <c r="V22" s="39">
        <v>13.0981655</v>
      </c>
      <c r="X22" s="36">
        <f t="shared" si="2"/>
        <v>7.5919274999999997</v>
      </c>
      <c r="Y22" s="37">
        <f t="shared" si="3"/>
        <v>0.68557350985304044</v>
      </c>
      <c r="Z22" s="46">
        <v>4836096</v>
      </c>
      <c r="AA22" s="38">
        <v>8098056</v>
      </c>
      <c r="AB22" s="47">
        <v>75.188922700000006</v>
      </c>
      <c r="AC22" s="47">
        <v>76.987745899999993</v>
      </c>
      <c r="AD22" s="47">
        <v>39.095718099999999</v>
      </c>
      <c r="AE22" s="47">
        <v>44.546574100000001</v>
      </c>
      <c r="AF22" s="47">
        <v>46.844578800000001</v>
      </c>
      <c r="AG22" s="47">
        <v>50.455557200000001</v>
      </c>
      <c r="AH22" s="47">
        <v>34.886436699999997</v>
      </c>
      <c r="AI22" s="39">
        <v>2112.0338339999998</v>
      </c>
      <c r="AJ22" s="39">
        <v>22.055952999999999</v>
      </c>
      <c r="AL22" s="77"/>
      <c r="AM22" s="77"/>
      <c r="AN22" s="77"/>
      <c r="AO22" s="77"/>
      <c r="AP22" s="77"/>
      <c r="AQ22" s="77"/>
      <c r="AR22" s="77"/>
    </row>
    <row r="23" spans="1:44" outlineLevel="1" x14ac:dyDescent="0.3">
      <c r="A23" s="17"/>
      <c r="B23" s="17" t="s">
        <v>58</v>
      </c>
      <c r="C23" s="19" t="s">
        <v>375</v>
      </c>
      <c r="D23" s="17">
        <v>11812090</v>
      </c>
      <c r="E23" s="18">
        <v>12</v>
      </c>
      <c r="F23" s="19">
        <v>32</v>
      </c>
      <c r="G23" s="19">
        <v>30</v>
      </c>
      <c r="H23" s="19">
        <v>14</v>
      </c>
      <c r="J23" s="20">
        <f t="shared" si="0"/>
        <v>11.946037499999999</v>
      </c>
      <c r="K23" s="21">
        <f t="shared" si="1"/>
        <v>1.0787625221277521</v>
      </c>
      <c r="L23" s="44">
        <v>4836096</v>
      </c>
      <c r="M23" s="22">
        <v>12742440</v>
      </c>
      <c r="N23" s="45">
        <v>76.476066599999996</v>
      </c>
      <c r="O23" s="45">
        <v>78.511051100000003</v>
      </c>
      <c r="P23" s="45">
        <v>40.927903399999998</v>
      </c>
      <c r="Q23" s="45">
        <v>45.538857</v>
      </c>
      <c r="R23" s="45">
        <v>48.364703200000001</v>
      </c>
      <c r="S23" s="45">
        <v>51.137091599999998</v>
      </c>
      <c r="T23" s="45">
        <v>36.048903299999999</v>
      </c>
      <c r="U23" s="23">
        <v>1446.17887</v>
      </c>
      <c r="V23" s="23">
        <v>13.972106</v>
      </c>
      <c r="X23" s="20">
        <f t="shared" si="2"/>
        <v>11.955195</v>
      </c>
      <c r="Y23" s="21">
        <f t="shared" si="3"/>
        <v>1.079589471465253</v>
      </c>
      <c r="Z23" s="44">
        <v>4836096</v>
      </c>
      <c r="AA23" s="22">
        <v>12752208</v>
      </c>
      <c r="AB23" s="45">
        <v>76.476066599999996</v>
      </c>
      <c r="AC23" s="45">
        <v>78.511051100000003</v>
      </c>
      <c r="AD23" s="45">
        <v>40.927903399999998</v>
      </c>
      <c r="AE23" s="45">
        <v>45.538857</v>
      </c>
      <c r="AF23" s="45">
        <v>48.364703200000001</v>
      </c>
      <c r="AG23" s="45">
        <v>51.137091599999998</v>
      </c>
      <c r="AH23" s="45">
        <v>36.048903299999999</v>
      </c>
      <c r="AI23" s="23">
        <v>2141.7716350000001</v>
      </c>
      <c r="AJ23" s="23">
        <v>23.368286999999999</v>
      </c>
      <c r="AL23" s="76"/>
      <c r="AM23" s="76"/>
      <c r="AN23" s="76"/>
      <c r="AO23" s="76"/>
      <c r="AP23" s="76"/>
      <c r="AQ23" s="76"/>
      <c r="AR23" s="76"/>
    </row>
    <row r="24" spans="1:44" ht="15.75" customHeight="1" outlineLevel="1" thickBot="1" x14ac:dyDescent="0.35">
      <c r="A24" s="25"/>
      <c r="B24" s="25" t="s">
        <v>58</v>
      </c>
      <c r="C24" s="27" t="s">
        <v>376</v>
      </c>
      <c r="D24" s="25">
        <v>11812090</v>
      </c>
      <c r="E24" s="26">
        <v>12</v>
      </c>
      <c r="F24" s="27">
        <v>32</v>
      </c>
      <c r="G24" s="27">
        <v>30</v>
      </c>
      <c r="H24" s="27">
        <v>21</v>
      </c>
      <c r="J24" s="28">
        <f t="shared" si="0"/>
        <v>23.217337499999999</v>
      </c>
      <c r="K24" s="29">
        <f t="shared" si="1"/>
        <v>2.0965942521602865</v>
      </c>
      <c r="L24" s="57">
        <v>1259636</v>
      </c>
      <c r="M24" s="30">
        <v>24765160</v>
      </c>
      <c r="N24" s="58">
        <v>999.99</v>
      </c>
      <c r="O24" s="58">
        <v>999.99</v>
      </c>
      <c r="P24" s="58">
        <v>41.318016999999998</v>
      </c>
      <c r="Q24" s="58">
        <v>45.380315299999999</v>
      </c>
      <c r="R24" s="58">
        <v>48.191897099999998</v>
      </c>
      <c r="S24" s="58">
        <v>999.99</v>
      </c>
      <c r="T24" s="58">
        <v>41.381419899999997</v>
      </c>
      <c r="U24" s="31">
        <v>1163.8651600000001</v>
      </c>
      <c r="V24" s="31">
        <v>14.3316208</v>
      </c>
      <c r="X24" s="28">
        <f t="shared" si="2"/>
        <v>23.219864999999999</v>
      </c>
      <c r="Y24" s="29">
        <f t="shared" si="3"/>
        <v>2.0968224928865258</v>
      </c>
      <c r="Z24" s="57">
        <v>1259636</v>
      </c>
      <c r="AA24" s="30">
        <v>24767856</v>
      </c>
      <c r="AB24" s="58">
        <v>999.99</v>
      </c>
      <c r="AC24" s="58">
        <v>999.99</v>
      </c>
      <c r="AD24" s="58">
        <v>41.318016999999998</v>
      </c>
      <c r="AE24" s="58">
        <v>45.380315299999999</v>
      </c>
      <c r="AF24" s="58">
        <v>48.191897099999998</v>
      </c>
      <c r="AG24" s="58">
        <v>999.99</v>
      </c>
      <c r="AH24" s="58">
        <v>41.381419899999997</v>
      </c>
      <c r="AI24" s="31">
        <v>1607.4482379999999</v>
      </c>
      <c r="AJ24" s="31">
        <v>20.812749</v>
      </c>
      <c r="AL24" s="79"/>
      <c r="AM24" s="79"/>
      <c r="AN24" s="79"/>
      <c r="AO24" s="79"/>
      <c r="AP24" s="79"/>
      <c r="AQ24" s="79"/>
      <c r="AR24" s="79"/>
    </row>
    <row r="25" spans="1:44" x14ac:dyDescent="0.3">
      <c r="A25" s="17" t="s">
        <v>177</v>
      </c>
      <c r="B25" s="17" t="s">
        <v>63</v>
      </c>
      <c r="C25" s="19" t="s">
        <v>372</v>
      </c>
      <c r="D25" s="17">
        <v>12000000</v>
      </c>
      <c r="E25" s="18">
        <v>12</v>
      </c>
      <c r="F25" s="19">
        <v>32</v>
      </c>
      <c r="G25" s="19">
        <v>30</v>
      </c>
      <c r="H25" s="19">
        <v>4</v>
      </c>
      <c r="J25" s="20">
        <f t="shared" si="0"/>
        <v>5.0663475</v>
      </c>
      <c r="K25" s="21">
        <f t="shared" si="1"/>
        <v>0.45034200000000002</v>
      </c>
      <c r="L25" s="44">
        <v>4912768</v>
      </c>
      <c r="M25" s="22">
        <v>5404104</v>
      </c>
      <c r="N25" s="45">
        <v>73.324910700000004</v>
      </c>
      <c r="O25" s="45">
        <v>75.103150900000003</v>
      </c>
      <c r="P25" s="45">
        <v>31.5214997</v>
      </c>
      <c r="Q25" s="45">
        <v>40.384349700000001</v>
      </c>
      <c r="R25" s="45">
        <v>37.590428299999999</v>
      </c>
      <c r="S25" s="45">
        <v>45.0803783</v>
      </c>
      <c r="T25" s="45">
        <v>28.988192000000002</v>
      </c>
      <c r="U25" s="23">
        <v>4339.7621900000004</v>
      </c>
      <c r="V25" s="23">
        <v>44.2692877</v>
      </c>
      <c r="X25" s="20">
        <f t="shared" si="2"/>
        <v>5.0728350000000004</v>
      </c>
      <c r="Y25" s="21">
        <f t="shared" si="3"/>
        <v>0.45091866666666669</v>
      </c>
      <c r="Z25" s="44">
        <v>4912768</v>
      </c>
      <c r="AA25" s="22">
        <v>5411024</v>
      </c>
      <c r="AB25" s="45">
        <v>73.324910700000004</v>
      </c>
      <c r="AC25" s="45">
        <v>75.103150900000003</v>
      </c>
      <c r="AD25" s="45">
        <v>31.5214997</v>
      </c>
      <c r="AE25" s="45">
        <v>40.384349700000001</v>
      </c>
      <c r="AF25" s="45">
        <v>37.590428299999999</v>
      </c>
      <c r="AG25" s="45">
        <v>45.0803783</v>
      </c>
      <c r="AH25" s="45">
        <v>28.988192000000002</v>
      </c>
      <c r="AI25" s="23">
        <v>6183.1786609999999</v>
      </c>
      <c r="AJ25" s="23">
        <v>61.717050999999998</v>
      </c>
      <c r="AL25" s="76">
        <f t="array" ref="AL25">IF( OR(AND(ISBLANK(M25:M29)),AND(ISBLANK(AA25:AA29)), AND(ISBLANK(N25:N29)),AND(ISBLANK(AB25:AB29))), "·", bdRateExtend( M25:M29,N25:N29, AA25:AA29,AB25:AB29))</f>
        <v>5.2583388404903175E-4</v>
      </c>
      <c r="AM25" s="76">
        <f t="array" ref="AM25">IF( OR(AND(ISBLANK(M25:M29)),AND(ISBLANK(AA25:AA29)), AND(ISBLANK(O25:O29)),AND(ISBLANK(AC25:AC29))), "·", bdRateExtend( M25:M29,O25:O29, AA25:AA29,AC25:AC29))</f>
        <v>5.141080477417681E-4</v>
      </c>
      <c r="AN25" s="76">
        <f t="array" ref="AN25">IF( OR(AND(ISBLANK(M25:M29)),AND(ISBLANK(AA25:AA29)), AND(ISBLANK(P25:P29)),AND(ISBLANK(AD25:AD29))), "·", bdRateExtend( M25:M29,P25:P29, AA25:AA29,AD25:AD29))</f>
        <v>7.2146190142374778E-4</v>
      </c>
      <c r="AO25" s="76">
        <f t="array" ref="AO25">IF( OR(AND(ISBLANK(M25:M29)),AND(ISBLANK(AA25:AA29)), AND(ISBLANK(Q25:Q29)),AND(ISBLANK(AE25:AE29))), "·", bdRateExtend( M25:M29,Q25:Q29, AA25:AA29,AE25:AE29))</f>
        <v>8.6764048823972928E-4</v>
      </c>
      <c r="AP25" s="76">
        <f t="array" ref="AP25">IF( OR(AND(ISBLANK(M25:M29)),AND(ISBLANK(AA25:AA29)), AND(ISBLANK(R25:R29)),AND(ISBLANK(AF25:AF29))), "·", bdRateExtend( M25:M29,R25:R29, AA25:AA29,AF25:AF29))</f>
        <v>8.2327430256090572E-4</v>
      </c>
      <c r="AQ25" s="76">
        <f t="array" ref="AQ25">IF( OR(AND(ISBLANK(M25:M29)),AND(ISBLANK(AA25:AA29)), AND(ISBLANK(S25:S29)),AND(ISBLANK(AG25:AG29))), "·", bdRateExtend( M25:M29,S25:S29, AA25:AA29,AG25:AG29))</f>
        <v>4.6082520922263726E-4</v>
      </c>
      <c r="AR25" s="76">
        <f t="array" ref="AR25">IF( OR(AND(ISBLANK(M25:M29)),AND(ISBLANK(AA25:AA29)), AND(ISBLANK(T25:T29)),AND(ISBLANK(AH25:AH29))), "·", bdRateExtend( M25:M29,T25:T29, AA25:AA29,AH25:AH29))</f>
        <v>5.937478001647456E-4</v>
      </c>
    </row>
    <row r="26" spans="1:44" outlineLevel="1" x14ac:dyDescent="0.3">
      <c r="A26" s="33"/>
      <c r="B26" s="33" t="s">
        <v>63</v>
      </c>
      <c r="C26" s="35" t="s">
        <v>373</v>
      </c>
      <c r="D26" s="33">
        <v>12000000</v>
      </c>
      <c r="E26" s="34">
        <v>12</v>
      </c>
      <c r="F26" s="35">
        <v>32</v>
      </c>
      <c r="G26" s="35">
        <v>30</v>
      </c>
      <c r="H26" s="35">
        <v>8</v>
      </c>
      <c r="J26" s="36">
        <f t="shared" si="0"/>
        <v>7.1058599999999998</v>
      </c>
      <c r="K26" s="37">
        <f t="shared" si="1"/>
        <v>0.63163199999999997</v>
      </c>
      <c r="L26" s="46">
        <v>4912768</v>
      </c>
      <c r="M26" s="38">
        <v>7579584</v>
      </c>
      <c r="N26" s="47">
        <v>74.527038200000007</v>
      </c>
      <c r="O26" s="47">
        <v>76.488994899999994</v>
      </c>
      <c r="P26" s="47">
        <v>32.938456600000002</v>
      </c>
      <c r="Q26" s="47">
        <v>42.215449300000003</v>
      </c>
      <c r="R26" s="47">
        <v>39.658188699999997</v>
      </c>
      <c r="S26" s="47">
        <v>45.516765800000002</v>
      </c>
      <c r="T26" s="47">
        <v>30.091213</v>
      </c>
      <c r="U26" s="39">
        <v>4375.1219199999996</v>
      </c>
      <c r="V26" s="39">
        <v>45.250585299999997</v>
      </c>
      <c r="X26" s="36">
        <f t="shared" si="2"/>
        <v>7.1126025000000004</v>
      </c>
      <c r="Y26" s="37">
        <f t="shared" si="3"/>
        <v>0.63223133333333337</v>
      </c>
      <c r="Z26" s="46">
        <v>4912768</v>
      </c>
      <c r="AA26" s="38">
        <v>7586776</v>
      </c>
      <c r="AB26" s="47">
        <v>74.527038200000007</v>
      </c>
      <c r="AC26" s="47">
        <v>76.488994899999994</v>
      </c>
      <c r="AD26" s="47">
        <v>32.938456600000002</v>
      </c>
      <c r="AE26" s="47">
        <v>42.215449300000003</v>
      </c>
      <c r="AF26" s="47">
        <v>39.658188699999997</v>
      </c>
      <c r="AG26" s="47">
        <v>45.516765800000002</v>
      </c>
      <c r="AH26" s="47">
        <v>30.091213</v>
      </c>
      <c r="AI26" s="39">
        <v>6192.7612429999999</v>
      </c>
      <c r="AJ26" s="39">
        <v>60.915030999999999</v>
      </c>
      <c r="AL26" s="77"/>
      <c r="AM26" s="77"/>
      <c r="AN26" s="77"/>
      <c r="AO26" s="77"/>
      <c r="AP26" s="77"/>
      <c r="AQ26" s="77"/>
      <c r="AR26" s="77"/>
    </row>
    <row r="27" spans="1:44" outlineLevel="1" x14ac:dyDescent="0.3">
      <c r="A27" s="17"/>
      <c r="B27" s="17" t="s">
        <v>63</v>
      </c>
      <c r="C27" s="19" t="s">
        <v>374</v>
      </c>
      <c r="D27" s="17">
        <v>12000000</v>
      </c>
      <c r="E27" s="18">
        <v>12</v>
      </c>
      <c r="F27" s="19">
        <v>32</v>
      </c>
      <c r="G27" s="19">
        <v>30</v>
      </c>
      <c r="H27" s="19">
        <v>12</v>
      </c>
      <c r="J27" s="20">
        <f t="shared" si="0"/>
        <v>10.817024999999999</v>
      </c>
      <c r="K27" s="21">
        <f t="shared" si="1"/>
        <v>0.96151333333333333</v>
      </c>
      <c r="L27" s="44">
        <v>2456992</v>
      </c>
      <c r="M27" s="22">
        <v>11538160</v>
      </c>
      <c r="N27" s="45">
        <v>77.443510099999997</v>
      </c>
      <c r="O27" s="45">
        <v>79.943787400000005</v>
      </c>
      <c r="P27" s="45">
        <v>34.329776000000003</v>
      </c>
      <c r="Q27" s="45">
        <v>43.361544700000003</v>
      </c>
      <c r="R27" s="45">
        <v>41.143743299999997</v>
      </c>
      <c r="S27" s="45">
        <v>47.019991699999999</v>
      </c>
      <c r="T27" s="45">
        <v>31.834276500000001</v>
      </c>
      <c r="U27" s="23">
        <v>4690.6368499999999</v>
      </c>
      <c r="V27" s="23">
        <v>47.396261500000001</v>
      </c>
      <c r="X27" s="20">
        <f t="shared" si="2"/>
        <v>10.82202</v>
      </c>
      <c r="Y27" s="21">
        <f t="shared" si="3"/>
        <v>0.96195733333333333</v>
      </c>
      <c r="Z27" s="44">
        <v>2456992</v>
      </c>
      <c r="AA27" s="22">
        <v>11543488</v>
      </c>
      <c r="AB27" s="45">
        <v>77.443510099999997</v>
      </c>
      <c r="AC27" s="45">
        <v>79.943787400000005</v>
      </c>
      <c r="AD27" s="45">
        <v>34.329776000000003</v>
      </c>
      <c r="AE27" s="45">
        <v>43.361544700000003</v>
      </c>
      <c r="AF27" s="45">
        <v>41.143743299999997</v>
      </c>
      <c r="AG27" s="45">
        <v>47.019991699999999</v>
      </c>
      <c r="AH27" s="45">
        <v>31.834276500000001</v>
      </c>
      <c r="AI27" s="23">
        <v>6300.573676</v>
      </c>
      <c r="AJ27" s="23">
        <v>69.887663000000003</v>
      </c>
      <c r="AL27" s="76"/>
      <c r="AM27" s="76"/>
      <c r="AN27" s="76"/>
      <c r="AO27" s="76"/>
      <c r="AP27" s="76"/>
      <c r="AQ27" s="76"/>
      <c r="AR27" s="76"/>
    </row>
    <row r="28" spans="1:44" outlineLevel="1" x14ac:dyDescent="0.3">
      <c r="A28" s="33"/>
      <c r="B28" s="33" t="s">
        <v>63</v>
      </c>
      <c r="C28" s="35" t="s">
        <v>375</v>
      </c>
      <c r="D28" s="33">
        <v>12000000</v>
      </c>
      <c r="E28" s="34">
        <v>12</v>
      </c>
      <c r="F28" s="35">
        <v>32</v>
      </c>
      <c r="G28" s="35">
        <v>30</v>
      </c>
      <c r="H28" s="35">
        <v>17</v>
      </c>
      <c r="J28" s="36">
        <f t="shared" si="0"/>
        <v>12.407842499999999</v>
      </c>
      <c r="K28" s="37">
        <f t="shared" si="1"/>
        <v>1.1029193333333334</v>
      </c>
      <c r="L28" s="46">
        <v>4914848</v>
      </c>
      <c r="M28" s="38">
        <v>13235032</v>
      </c>
      <c r="N28" s="47">
        <v>79.527927599999998</v>
      </c>
      <c r="O28" s="47">
        <v>82.634541200000001</v>
      </c>
      <c r="P28" s="47">
        <v>34.5638091</v>
      </c>
      <c r="Q28" s="47">
        <v>43.376177200000001</v>
      </c>
      <c r="R28" s="47">
        <v>41.223072799999997</v>
      </c>
      <c r="S28" s="47">
        <v>48.555155300000003</v>
      </c>
      <c r="T28" s="47">
        <v>32.746724200000003</v>
      </c>
      <c r="U28" s="39">
        <v>4826.3817900000004</v>
      </c>
      <c r="V28" s="39">
        <v>46.212539</v>
      </c>
      <c r="X28" s="36">
        <f t="shared" si="2"/>
        <v>12.414104999999999</v>
      </c>
      <c r="Y28" s="37">
        <f t="shared" si="3"/>
        <v>1.1034759999999999</v>
      </c>
      <c r="Z28" s="46">
        <v>4914848</v>
      </c>
      <c r="AA28" s="38">
        <v>13241712</v>
      </c>
      <c r="AB28" s="47">
        <v>79.527927599999998</v>
      </c>
      <c r="AC28" s="47">
        <v>82.634541200000001</v>
      </c>
      <c r="AD28" s="47">
        <v>34.5638091</v>
      </c>
      <c r="AE28" s="47">
        <v>43.376177200000001</v>
      </c>
      <c r="AF28" s="47">
        <v>41.223072799999997</v>
      </c>
      <c r="AG28" s="47">
        <v>48.555155300000003</v>
      </c>
      <c r="AH28" s="47">
        <v>32.746724200000003</v>
      </c>
      <c r="AI28" s="39">
        <v>6811.9310070000001</v>
      </c>
      <c r="AJ28" s="39">
        <v>63.562587000000001</v>
      </c>
      <c r="AL28" s="77"/>
      <c r="AM28" s="77"/>
      <c r="AN28" s="77"/>
      <c r="AO28" s="77"/>
      <c r="AP28" s="77"/>
      <c r="AQ28" s="77"/>
      <c r="AR28" s="77"/>
    </row>
    <row r="29" spans="1:44" ht="15.75" customHeight="1" outlineLevel="1" thickBot="1" x14ac:dyDescent="0.35">
      <c r="A29" s="17"/>
      <c r="B29" s="48" t="s">
        <v>63</v>
      </c>
      <c r="C29" s="49" t="s">
        <v>376</v>
      </c>
      <c r="D29" s="48">
        <v>12000000</v>
      </c>
      <c r="E29" s="50">
        <v>12</v>
      </c>
      <c r="F29" s="49">
        <v>32</v>
      </c>
      <c r="G29" s="49">
        <v>30</v>
      </c>
      <c r="H29" s="49">
        <v>25</v>
      </c>
      <c r="J29" s="51">
        <f t="shared" si="0"/>
        <v>22.401225</v>
      </c>
      <c r="K29" s="52">
        <f t="shared" si="1"/>
        <v>1.99122</v>
      </c>
      <c r="L29" s="53">
        <v>921591</v>
      </c>
      <c r="M29" s="54">
        <v>23894640</v>
      </c>
      <c r="N29" s="55">
        <v>85.9955164</v>
      </c>
      <c r="O29" s="55">
        <v>91.337711799999994</v>
      </c>
      <c r="P29" s="55">
        <v>35.982384500000002</v>
      </c>
      <c r="Q29" s="55">
        <v>44.041339800000003</v>
      </c>
      <c r="R29" s="55">
        <v>42.169474399999999</v>
      </c>
      <c r="S29" s="55">
        <v>55.644798000000002</v>
      </c>
      <c r="T29" s="55">
        <v>35.466217999999998</v>
      </c>
      <c r="U29" s="56">
        <v>6398.1603299999997</v>
      </c>
      <c r="V29" s="56">
        <v>47.082419999999999</v>
      </c>
      <c r="X29" s="51">
        <f t="shared" si="2"/>
        <v>22.403767500000001</v>
      </c>
      <c r="Y29" s="52">
        <f t="shared" si="3"/>
        <v>1.991446</v>
      </c>
      <c r="Z29" s="53">
        <v>921591</v>
      </c>
      <c r="AA29" s="54">
        <v>23897352</v>
      </c>
      <c r="AB29" s="55">
        <v>85.9955164</v>
      </c>
      <c r="AC29" s="55">
        <v>91.337711799999994</v>
      </c>
      <c r="AD29" s="55">
        <v>35.982384500000002</v>
      </c>
      <c r="AE29" s="55">
        <v>44.041339800000003</v>
      </c>
      <c r="AF29" s="55">
        <v>42.169474399999999</v>
      </c>
      <c r="AG29" s="55">
        <v>55.644798000000002</v>
      </c>
      <c r="AH29" s="55">
        <v>35.466217999999998</v>
      </c>
      <c r="AI29" s="56">
        <v>9198.9062589999994</v>
      </c>
      <c r="AJ29" s="56">
        <v>121.868954</v>
      </c>
      <c r="AL29" s="78"/>
      <c r="AM29" s="78"/>
      <c r="AN29" s="78"/>
      <c r="AO29" s="78"/>
      <c r="AP29" s="78"/>
      <c r="AQ29" s="78"/>
      <c r="AR29" s="78"/>
    </row>
    <row r="30" spans="1:44" x14ac:dyDescent="0.3">
      <c r="A30" s="33"/>
      <c r="B30" s="33" t="s">
        <v>68</v>
      </c>
      <c r="C30" s="35" t="s">
        <v>372</v>
      </c>
      <c r="D30" s="33">
        <v>5997654</v>
      </c>
      <c r="E30" s="34">
        <v>12</v>
      </c>
      <c r="F30" s="35">
        <v>32</v>
      </c>
      <c r="G30" s="35">
        <v>30</v>
      </c>
      <c r="H30" s="35">
        <v>4</v>
      </c>
      <c r="J30" s="36">
        <f t="shared" si="0"/>
        <v>4.6195950000000003</v>
      </c>
      <c r="K30" s="37">
        <f t="shared" si="1"/>
        <v>0.82158257211903185</v>
      </c>
      <c r="L30" s="46">
        <v>4885312</v>
      </c>
      <c r="M30" s="38">
        <v>4927568</v>
      </c>
      <c r="N30" s="47">
        <v>73.201354199999997</v>
      </c>
      <c r="O30" s="47">
        <v>74.811550100000005</v>
      </c>
      <c r="P30" s="47">
        <v>37.471127699999997</v>
      </c>
      <c r="Q30" s="47">
        <v>44.202924699999997</v>
      </c>
      <c r="R30" s="47">
        <v>42.919377900000001</v>
      </c>
      <c r="S30" s="47">
        <v>46.684344400000001</v>
      </c>
      <c r="T30" s="47">
        <v>34.334030900000002</v>
      </c>
      <c r="U30" s="39">
        <v>4212.2365799999998</v>
      </c>
      <c r="V30" s="39">
        <v>43.716148799999999</v>
      </c>
      <c r="X30" s="36">
        <f t="shared" si="2"/>
        <v>4.6277625000000002</v>
      </c>
      <c r="Y30" s="37">
        <f t="shared" si="3"/>
        <v>0.82303514007310197</v>
      </c>
      <c r="Z30" s="46">
        <v>4885312</v>
      </c>
      <c r="AA30" s="38">
        <v>4936280</v>
      </c>
      <c r="AB30" s="47">
        <v>73.201354199999997</v>
      </c>
      <c r="AC30" s="47">
        <v>74.811550100000005</v>
      </c>
      <c r="AD30" s="47">
        <v>37.471127699999997</v>
      </c>
      <c r="AE30" s="47">
        <v>44.202924699999997</v>
      </c>
      <c r="AF30" s="47">
        <v>42.919377900000001</v>
      </c>
      <c r="AG30" s="47">
        <v>46.684344400000001</v>
      </c>
      <c r="AH30" s="47">
        <v>34.334030900000002</v>
      </c>
      <c r="AI30" s="39">
        <v>6270.0982949999998</v>
      </c>
      <c r="AJ30" s="39">
        <v>60.028357</v>
      </c>
      <c r="AL30" s="77">
        <f t="array" ref="AL30">IF( OR(AND(ISBLANK(M30:M34)),AND(ISBLANK(AA30:AA34)), AND(ISBLANK(N30:N34)),AND(ISBLANK(AB30:AB34))), "·", bdRateExtend( M30:M34,N30:N34, AA30:AA34,AB30:AB34))</f>
        <v>7.9736022741716539E-4</v>
      </c>
      <c r="AM30" s="77">
        <f t="array" ref="AM30">IF( OR(AND(ISBLANK(M30:M34)),AND(ISBLANK(AA30:AA34)), AND(ISBLANK(O30:O34)),AND(ISBLANK(AC30:AC34))), "·", bdRateExtend( M30:M34,O30:O34, AA30:AA34,AC30:AC34))</f>
        <v>7.7498883839322019E-4</v>
      </c>
      <c r="AN30" s="77">
        <f t="array" ref="AN30">IF( OR(AND(ISBLANK(M30:M34)),AND(ISBLANK(AA30:AA34)), AND(ISBLANK(P30:P34)),AND(ISBLANK(AD30:AD34))), "·", bdRateExtend( M30:M34,P30:P34, AA30:AA34,AD30:AD34))</f>
        <v>9.8496624585320269E-4</v>
      </c>
      <c r="AO30" s="77">
        <f t="array" ref="AO30">IF( OR(AND(ISBLANK(M30:M34)),AND(ISBLANK(AA30:AA34)), AND(ISBLANK(Q30:Q34)),AND(ISBLANK(AE30:AE34))), "·", bdRateExtend( M30:M34,Q30:Q34, AA30:AA34,AE30:AE34))</f>
        <v>9.5652470367890707E-4</v>
      </c>
      <c r="AP30" s="77">
        <f t="array" ref="AP30">IF( OR(AND(ISBLANK(M30:M34)),AND(ISBLANK(AA30:AA34)), AND(ISBLANK(R30:R34)),AND(ISBLANK(AF30:AF34))), "·", bdRateExtend( M30:M34,R30:R34, AA30:AA34,AF30:AF34))</f>
        <v>9.381306037752335E-4</v>
      </c>
      <c r="AQ30" s="77">
        <f t="array" ref="AQ30">IF( OR(AND(ISBLANK(M30:M34)),AND(ISBLANK(AA30:AA34)), AND(ISBLANK(S30:S34)),AND(ISBLANK(AG30:AG34))), "·", bdRateExtend( M30:M34,S30:S34, AA30:AA34,AG30:AG34))</f>
        <v>7.2941985686481026E-4</v>
      </c>
      <c r="AR30" s="77">
        <f t="array" ref="AR30">IF( OR(AND(ISBLANK(M30:M34)),AND(ISBLANK(AA30:AA34)), AND(ISBLANK(T30:T34)),AND(ISBLANK(AH30:AH34))), "·", bdRateExtend( M30:M34,T30:T34, AA30:AA34,AH30:AH34))</f>
        <v>8.3607489968606785E-4</v>
      </c>
    </row>
    <row r="31" spans="1:44" outlineLevel="1" x14ac:dyDescent="0.3">
      <c r="A31" s="17"/>
      <c r="B31" s="17" t="s">
        <v>68</v>
      </c>
      <c r="C31" s="19" t="s">
        <v>373</v>
      </c>
      <c r="D31" s="17">
        <v>5997654</v>
      </c>
      <c r="E31" s="18">
        <v>12</v>
      </c>
      <c r="F31" s="19">
        <v>32</v>
      </c>
      <c r="G31" s="19">
        <v>30</v>
      </c>
      <c r="H31" s="19">
        <v>8</v>
      </c>
      <c r="J31" s="20">
        <f t="shared" si="0"/>
        <v>6.3261225000000003</v>
      </c>
      <c r="K31" s="21">
        <f t="shared" si="1"/>
        <v>1.1250839078079529</v>
      </c>
      <c r="L31" s="44">
        <v>4885312</v>
      </c>
      <c r="M31" s="22">
        <v>6747864</v>
      </c>
      <c r="N31" s="45">
        <v>74.416547100000003</v>
      </c>
      <c r="O31" s="45">
        <v>76.182307100000003</v>
      </c>
      <c r="P31" s="45">
        <v>39.112617800000002</v>
      </c>
      <c r="Q31" s="45">
        <v>45.095170199999998</v>
      </c>
      <c r="R31" s="45">
        <v>43.892584599999999</v>
      </c>
      <c r="S31" s="45">
        <v>47.294878500000003</v>
      </c>
      <c r="T31" s="45">
        <v>35.461262900000001</v>
      </c>
      <c r="U31" s="23">
        <v>4218.7632199999998</v>
      </c>
      <c r="V31" s="23">
        <v>44.485805900000003</v>
      </c>
      <c r="X31" s="20">
        <f t="shared" si="2"/>
        <v>6.3355199999999998</v>
      </c>
      <c r="Y31" s="21">
        <f t="shared" si="3"/>
        <v>1.1267552279607993</v>
      </c>
      <c r="Z31" s="44">
        <v>4885312</v>
      </c>
      <c r="AA31" s="22">
        <v>6757888</v>
      </c>
      <c r="AB31" s="45">
        <v>74.416547100000003</v>
      </c>
      <c r="AC31" s="45">
        <v>76.182307100000003</v>
      </c>
      <c r="AD31" s="45">
        <v>39.112617800000002</v>
      </c>
      <c r="AE31" s="45">
        <v>45.095170199999998</v>
      </c>
      <c r="AF31" s="45">
        <v>43.892584599999999</v>
      </c>
      <c r="AG31" s="45">
        <v>47.294878500000003</v>
      </c>
      <c r="AH31" s="45">
        <v>35.461262900000001</v>
      </c>
      <c r="AI31" s="23">
        <v>6230.6889600000004</v>
      </c>
      <c r="AJ31" s="23">
        <v>61.955911999999998</v>
      </c>
      <c r="AL31" s="76"/>
      <c r="AM31" s="76"/>
      <c r="AN31" s="76"/>
      <c r="AO31" s="76"/>
      <c r="AP31" s="76"/>
      <c r="AQ31" s="76"/>
      <c r="AR31" s="76"/>
    </row>
    <row r="32" spans="1:44" outlineLevel="1" x14ac:dyDescent="0.3">
      <c r="A32" s="33"/>
      <c r="B32" s="33" t="s">
        <v>68</v>
      </c>
      <c r="C32" s="35" t="s">
        <v>374</v>
      </c>
      <c r="D32" s="33">
        <v>5997654</v>
      </c>
      <c r="E32" s="34">
        <v>12</v>
      </c>
      <c r="F32" s="35">
        <v>32</v>
      </c>
      <c r="G32" s="35">
        <v>30</v>
      </c>
      <c r="H32" s="35">
        <v>12</v>
      </c>
      <c r="J32" s="36">
        <f t="shared" si="0"/>
        <v>9.9743700000000004</v>
      </c>
      <c r="K32" s="37">
        <f t="shared" si="1"/>
        <v>1.7739149340725557</v>
      </c>
      <c r="L32" s="46">
        <v>2450608</v>
      </c>
      <c r="M32" s="38">
        <v>10639328</v>
      </c>
      <c r="N32" s="47">
        <v>77.4708246</v>
      </c>
      <c r="O32" s="47">
        <v>79.701811699999993</v>
      </c>
      <c r="P32" s="47">
        <v>40.941040100000002</v>
      </c>
      <c r="Q32" s="47">
        <v>45.855102899999999</v>
      </c>
      <c r="R32" s="47">
        <v>44.811042899999997</v>
      </c>
      <c r="S32" s="47">
        <v>49.136744499999999</v>
      </c>
      <c r="T32" s="47">
        <v>37.407677900000003</v>
      </c>
      <c r="U32" s="39">
        <v>4327.77016</v>
      </c>
      <c r="V32" s="39">
        <v>45.556222400000003</v>
      </c>
      <c r="X32" s="36">
        <f t="shared" si="2"/>
        <v>9.9819300000000002</v>
      </c>
      <c r="Y32" s="37">
        <f t="shared" si="3"/>
        <v>1.7752594597821081</v>
      </c>
      <c r="Z32" s="46">
        <v>2450608</v>
      </c>
      <c r="AA32" s="38">
        <v>10647392</v>
      </c>
      <c r="AB32" s="47">
        <v>77.4708246</v>
      </c>
      <c r="AC32" s="47">
        <v>79.701811699999993</v>
      </c>
      <c r="AD32" s="47">
        <v>40.941040100000002</v>
      </c>
      <c r="AE32" s="47">
        <v>45.855102899999999</v>
      </c>
      <c r="AF32" s="47">
        <v>44.811042899999997</v>
      </c>
      <c r="AG32" s="47">
        <v>49.136744499999999</v>
      </c>
      <c r="AH32" s="47">
        <v>37.407677900000003</v>
      </c>
      <c r="AI32" s="39">
        <v>6309.427721</v>
      </c>
      <c r="AJ32" s="39">
        <v>65.110076000000007</v>
      </c>
      <c r="AL32" s="77"/>
      <c r="AM32" s="77"/>
      <c r="AN32" s="77"/>
      <c r="AO32" s="77"/>
      <c r="AP32" s="77"/>
      <c r="AQ32" s="77"/>
      <c r="AR32" s="77"/>
    </row>
    <row r="33" spans="1:44" outlineLevel="1" x14ac:dyDescent="0.3">
      <c r="A33" s="17"/>
      <c r="B33" s="17" t="s">
        <v>68</v>
      </c>
      <c r="C33" s="19" t="s">
        <v>375</v>
      </c>
      <c r="D33" s="17">
        <v>5997654</v>
      </c>
      <c r="E33" s="18">
        <v>12</v>
      </c>
      <c r="F33" s="19">
        <v>32</v>
      </c>
      <c r="G33" s="19">
        <v>30</v>
      </c>
      <c r="H33" s="19">
        <v>17</v>
      </c>
      <c r="J33" s="20">
        <f t="shared" si="0"/>
        <v>11.556877500000001</v>
      </c>
      <c r="K33" s="21">
        <f t="shared" si="1"/>
        <v>2.0553596456214378</v>
      </c>
      <c r="L33" s="44">
        <v>4909200</v>
      </c>
      <c r="M33" s="22">
        <v>12327336</v>
      </c>
      <c r="N33" s="45">
        <v>79.693982099999999</v>
      </c>
      <c r="O33" s="45">
        <v>82.453794200000004</v>
      </c>
      <c r="P33" s="45">
        <v>41.228892799999997</v>
      </c>
      <c r="Q33" s="45">
        <v>45.962630599999997</v>
      </c>
      <c r="R33" s="45">
        <v>44.923883699999998</v>
      </c>
      <c r="S33" s="45">
        <v>50.4942037</v>
      </c>
      <c r="T33" s="45">
        <v>38.465165399999997</v>
      </c>
      <c r="U33" s="23">
        <v>4669.6787299999996</v>
      </c>
      <c r="V33" s="23">
        <v>46.047468700000003</v>
      </c>
      <c r="X33" s="20">
        <f t="shared" si="2"/>
        <v>11.563319999999999</v>
      </c>
      <c r="Y33" s="21">
        <f t="shared" si="3"/>
        <v>2.0565054269552729</v>
      </c>
      <c r="Z33" s="44">
        <v>4909200</v>
      </c>
      <c r="AA33" s="22">
        <v>12334208</v>
      </c>
      <c r="AB33" s="45">
        <v>79.693982099999999</v>
      </c>
      <c r="AC33" s="45">
        <v>82.453794200000004</v>
      </c>
      <c r="AD33" s="45">
        <v>41.228892799999997</v>
      </c>
      <c r="AE33" s="45">
        <v>45.962630599999997</v>
      </c>
      <c r="AF33" s="45">
        <v>44.923883699999998</v>
      </c>
      <c r="AG33" s="45">
        <v>50.4942037</v>
      </c>
      <c r="AH33" s="45">
        <v>38.465165399999997</v>
      </c>
      <c r="AI33" s="23">
        <v>6876.5129260000003</v>
      </c>
      <c r="AJ33" s="23">
        <v>62.749926000000002</v>
      </c>
      <c r="AL33" s="76"/>
      <c r="AM33" s="76"/>
      <c r="AN33" s="76"/>
      <c r="AO33" s="76"/>
      <c r="AP33" s="76"/>
      <c r="AQ33" s="76"/>
      <c r="AR33" s="76"/>
    </row>
    <row r="34" spans="1:44" ht="15.75" customHeight="1" outlineLevel="1" thickBot="1" x14ac:dyDescent="0.35">
      <c r="A34" s="33"/>
      <c r="B34" s="25" t="s">
        <v>68</v>
      </c>
      <c r="C34" s="27" t="s">
        <v>376</v>
      </c>
      <c r="D34" s="25">
        <v>5997654</v>
      </c>
      <c r="E34" s="26">
        <v>12</v>
      </c>
      <c r="F34" s="27">
        <v>32</v>
      </c>
      <c r="G34" s="27">
        <v>30</v>
      </c>
      <c r="H34" s="27">
        <v>25</v>
      </c>
      <c r="J34" s="28">
        <f t="shared" si="0"/>
        <v>18.655162499999999</v>
      </c>
      <c r="K34" s="29">
        <f t="shared" si="1"/>
        <v>3.317770581630751</v>
      </c>
      <c r="L34" s="57">
        <v>614149</v>
      </c>
      <c r="M34" s="30">
        <v>19898840</v>
      </c>
      <c r="N34" s="58">
        <v>83.276038999999997</v>
      </c>
      <c r="O34" s="58">
        <v>87.046021999999994</v>
      </c>
      <c r="P34" s="58">
        <v>43.058589099999999</v>
      </c>
      <c r="Q34" s="58">
        <v>47.0854669</v>
      </c>
      <c r="R34" s="58">
        <v>46.2602063</v>
      </c>
      <c r="S34" s="58">
        <v>53.335746899999997</v>
      </c>
      <c r="T34" s="58">
        <v>40.965384200000003</v>
      </c>
      <c r="U34" s="31">
        <v>5233.2479499999999</v>
      </c>
      <c r="V34" s="31">
        <v>46.767455400000003</v>
      </c>
      <c r="X34" s="28">
        <f t="shared" si="2"/>
        <v>18.657705</v>
      </c>
      <c r="Y34" s="29">
        <f t="shared" si="3"/>
        <v>3.3182227584318804</v>
      </c>
      <c r="Z34" s="57">
        <v>614149</v>
      </c>
      <c r="AA34" s="30">
        <v>19901552</v>
      </c>
      <c r="AB34" s="58">
        <v>83.276038999999997</v>
      </c>
      <c r="AC34" s="58">
        <v>87.046021999999994</v>
      </c>
      <c r="AD34" s="58">
        <v>43.058589099999999</v>
      </c>
      <c r="AE34" s="58">
        <v>47.0854669</v>
      </c>
      <c r="AF34" s="58">
        <v>46.2602063</v>
      </c>
      <c r="AG34" s="58">
        <v>53.335746899999997</v>
      </c>
      <c r="AH34" s="58">
        <v>40.965384200000003</v>
      </c>
      <c r="AI34" s="31">
        <v>7468.0660740000003</v>
      </c>
      <c r="AJ34" s="31">
        <v>61.373142999999999</v>
      </c>
      <c r="AL34" s="79"/>
      <c r="AM34" s="79"/>
      <c r="AN34" s="79"/>
      <c r="AO34" s="79"/>
      <c r="AP34" s="79"/>
      <c r="AQ34" s="79"/>
      <c r="AR34" s="79"/>
    </row>
    <row r="35" spans="1:44" x14ac:dyDescent="0.3">
      <c r="A35" s="17"/>
      <c r="B35" s="17" t="s">
        <v>32</v>
      </c>
      <c r="C35" s="19" t="s">
        <v>372</v>
      </c>
      <c r="D35" s="17">
        <v>9000000</v>
      </c>
      <c r="E35" s="18">
        <v>12</v>
      </c>
      <c r="F35" s="19">
        <v>32</v>
      </c>
      <c r="G35" s="19">
        <v>30</v>
      </c>
      <c r="H35" s="19">
        <v>4</v>
      </c>
      <c r="J35" s="20">
        <f t="shared" si="0"/>
        <v>4.64445</v>
      </c>
      <c r="K35" s="21">
        <f t="shared" si="1"/>
        <v>0.55045333333333335</v>
      </c>
      <c r="L35" s="44">
        <v>3680768</v>
      </c>
      <c r="M35" s="22">
        <v>4954080</v>
      </c>
      <c r="N35" s="45">
        <v>71.302055600000003</v>
      </c>
      <c r="O35" s="45">
        <v>72.728129499999994</v>
      </c>
      <c r="P35" s="45">
        <v>29.679186399999999</v>
      </c>
      <c r="Q35" s="45">
        <v>38.5613934</v>
      </c>
      <c r="R35" s="45">
        <v>38.5141147</v>
      </c>
      <c r="S35" s="45">
        <v>47.342260699999997</v>
      </c>
      <c r="T35" s="45">
        <v>28.705802299999998</v>
      </c>
      <c r="U35" s="23">
        <v>4402.7301299999999</v>
      </c>
      <c r="V35" s="23">
        <v>43.619530500000003</v>
      </c>
      <c r="X35" s="20">
        <f t="shared" si="2"/>
        <v>4.6519950000000003</v>
      </c>
      <c r="Y35" s="21">
        <f t="shared" si="3"/>
        <v>0.55134755555555559</v>
      </c>
      <c r="Z35" s="44">
        <v>3680768</v>
      </c>
      <c r="AA35" s="22">
        <v>4962128</v>
      </c>
      <c r="AB35" s="45">
        <v>71.302055600000003</v>
      </c>
      <c r="AC35" s="45">
        <v>72.728129499999994</v>
      </c>
      <c r="AD35" s="45">
        <v>29.679186399999999</v>
      </c>
      <c r="AE35" s="45">
        <v>38.5613934</v>
      </c>
      <c r="AF35" s="45">
        <v>38.5141147</v>
      </c>
      <c r="AG35" s="45">
        <v>47.342260699999997</v>
      </c>
      <c r="AH35" s="45">
        <v>28.705802299999998</v>
      </c>
      <c r="AI35" s="23">
        <v>6402.7557559999996</v>
      </c>
      <c r="AJ35" s="23">
        <v>61.825132000000004</v>
      </c>
      <c r="AL35" s="76">
        <f t="array" ref="AL35">IF( OR(AND(ISBLANK(M35:M39)),AND(ISBLANK(AA35:AA39)), AND(ISBLANK(N35:N39)),AND(ISBLANK(AB35:AB39))), "·", bdRateExtend( M35:M39,N35:N39, AA35:AA39,AB35:AB39))</f>
        <v>1.2608904751143513E-4</v>
      </c>
      <c r="AM35" s="76">
        <f t="array" ref="AM35">IF( OR(AND(ISBLANK(M35:M39)),AND(ISBLANK(AA35:AA39)), AND(ISBLANK(O35:O39)),AND(ISBLANK(AC35:AC39))), "·", bdRateExtend( M35:M39,O35:O39, AA35:AA39,AC35:AC39))</f>
        <v>1.2657998211906829E-4</v>
      </c>
      <c r="AN35" s="76">
        <f t="array" ref="AN35">IF( OR(AND(ISBLANK(M35:M39)),AND(ISBLANK(AA35:AA39)), AND(ISBLANK(P35:P39)),AND(ISBLANK(AD35:AD39))), "·", bdRateExtend( M35:M39,P35:P39, AA35:AA39,AD35:AD39))</f>
        <v>7.4933866841719876E-4</v>
      </c>
      <c r="AO35" s="76">
        <f t="array" ref="AO35">IF( OR(AND(ISBLANK(M35:M39)),AND(ISBLANK(AA35:AA39)), AND(ISBLANK(Q35:Q39)),AND(ISBLANK(AE35:AE39))), "·", bdRateExtend( M35:M39,Q35:Q39, AA35:AA39,AE35:AE39))</f>
        <v>1.1366139105779549E-3</v>
      </c>
      <c r="AP35" s="76">
        <f t="array" ref="AP35">IF( OR(AND(ISBLANK(M35:M39)),AND(ISBLANK(AA35:AA39)), AND(ISBLANK(R35:R39)),AND(ISBLANK(AF35:AF39))), "·", bdRateExtend( M35:M39,R35:R39, AA35:AA39,AF35:AF39))</f>
        <v>1.1271757348321199E-3</v>
      </c>
      <c r="AQ35" s="76">
        <f t="array" ref="AQ35">IF( OR(AND(ISBLANK(M35:M39)),AND(ISBLANK(AA35:AA39)), AND(ISBLANK(S35:S39)),AND(ISBLANK(AG35:AG39))), "·", bdRateExtend( M35:M39,S35:S39, AA35:AA39,AG35:AG39))</f>
        <v>1.2405327688069789E-4</v>
      </c>
      <c r="AR35" s="76">
        <f t="array" ref="AR35">IF( OR(AND(ISBLANK(M35:M39)),AND(ISBLANK(AA35:AA39)), AND(ISBLANK(T35:T39)),AND(ISBLANK(AH35:AH39))), "·", bdRateExtend( M35:M39,T35:T39, AA35:AA39,AH35:AH39))</f>
        <v>5.9806115240013114E-4</v>
      </c>
    </row>
    <row r="36" spans="1:44" outlineLevel="1" x14ac:dyDescent="0.3">
      <c r="A36" s="33"/>
      <c r="B36" s="33" t="s">
        <v>32</v>
      </c>
      <c r="C36" s="35" t="s">
        <v>373</v>
      </c>
      <c r="D36" s="33">
        <v>9000000</v>
      </c>
      <c r="E36" s="34">
        <v>12</v>
      </c>
      <c r="F36" s="35">
        <v>32</v>
      </c>
      <c r="G36" s="35">
        <v>30</v>
      </c>
      <c r="H36" s="35">
        <v>6</v>
      </c>
      <c r="J36" s="36">
        <f t="shared" si="0"/>
        <v>6.0137549999999997</v>
      </c>
      <c r="K36" s="37">
        <f t="shared" si="1"/>
        <v>0.71274133333333334</v>
      </c>
      <c r="L36" s="46">
        <v>3680768</v>
      </c>
      <c r="M36" s="38">
        <v>6414672</v>
      </c>
      <c r="N36" s="47">
        <v>72.791070099999999</v>
      </c>
      <c r="O36" s="47">
        <v>74.381295699999995</v>
      </c>
      <c r="P36" s="47">
        <v>30.116962699999998</v>
      </c>
      <c r="Q36" s="47">
        <v>38.832603900000002</v>
      </c>
      <c r="R36" s="47">
        <v>38.905903899999998</v>
      </c>
      <c r="S36" s="47">
        <v>48.182656999999999</v>
      </c>
      <c r="T36" s="47">
        <v>29.157704599999999</v>
      </c>
      <c r="U36" s="39">
        <v>4528.2209499999999</v>
      </c>
      <c r="V36" s="39">
        <v>45.2538889</v>
      </c>
      <c r="X36" s="36">
        <f t="shared" si="2"/>
        <v>6.0212624999999997</v>
      </c>
      <c r="Y36" s="37">
        <f t="shared" si="3"/>
        <v>0.7136311111111111</v>
      </c>
      <c r="Z36" s="46">
        <v>3680768</v>
      </c>
      <c r="AA36" s="38">
        <v>6422680</v>
      </c>
      <c r="AB36" s="47">
        <v>72.791070099999999</v>
      </c>
      <c r="AC36" s="47">
        <v>74.381295699999995</v>
      </c>
      <c r="AD36" s="47">
        <v>30.116962699999998</v>
      </c>
      <c r="AE36" s="47">
        <v>38.832603900000002</v>
      </c>
      <c r="AF36" s="47">
        <v>38.905903899999998</v>
      </c>
      <c r="AG36" s="47">
        <v>48.182656999999999</v>
      </c>
      <c r="AH36" s="47">
        <v>29.157704599999999</v>
      </c>
      <c r="AI36" s="39">
        <v>6379.2831159999996</v>
      </c>
      <c r="AJ36" s="39">
        <v>62.814098000000001</v>
      </c>
      <c r="AL36" s="77"/>
      <c r="AM36" s="77"/>
      <c r="AN36" s="77"/>
      <c r="AO36" s="77"/>
      <c r="AP36" s="77"/>
      <c r="AQ36" s="77"/>
      <c r="AR36" s="77"/>
    </row>
    <row r="37" spans="1:44" outlineLevel="1" x14ac:dyDescent="0.3">
      <c r="A37" s="17"/>
      <c r="B37" s="17" t="s">
        <v>32</v>
      </c>
      <c r="C37" s="19" t="s">
        <v>374</v>
      </c>
      <c r="D37" s="17">
        <v>9000000</v>
      </c>
      <c r="E37" s="18">
        <v>12</v>
      </c>
      <c r="F37" s="19">
        <v>32</v>
      </c>
      <c r="G37" s="19">
        <v>30</v>
      </c>
      <c r="H37" s="19">
        <v>11</v>
      </c>
      <c r="J37" s="20">
        <f t="shared" si="0"/>
        <v>8.0323799999999999</v>
      </c>
      <c r="K37" s="21">
        <f t="shared" si="1"/>
        <v>0.95198577777777782</v>
      </c>
      <c r="L37" s="44">
        <v>3680768</v>
      </c>
      <c r="M37" s="22">
        <v>8567872</v>
      </c>
      <c r="N37" s="45">
        <v>74.201550699999999</v>
      </c>
      <c r="O37" s="45">
        <v>75.930330499999997</v>
      </c>
      <c r="P37" s="45">
        <v>30.596360000000001</v>
      </c>
      <c r="Q37" s="45">
        <v>38.938030699999999</v>
      </c>
      <c r="R37" s="45">
        <v>39.055982899999997</v>
      </c>
      <c r="S37" s="45">
        <v>48.925004800000004</v>
      </c>
      <c r="T37" s="45">
        <v>29.643409200000001</v>
      </c>
      <c r="U37" s="23">
        <v>4534.1856299999999</v>
      </c>
      <c r="V37" s="23">
        <v>45.217366900000002</v>
      </c>
      <c r="X37" s="20">
        <f t="shared" si="2"/>
        <v>8.0406750000000002</v>
      </c>
      <c r="Y37" s="21">
        <f t="shared" si="3"/>
        <v>0.95296888888888887</v>
      </c>
      <c r="Z37" s="44">
        <v>3680768</v>
      </c>
      <c r="AA37" s="22">
        <v>8576720</v>
      </c>
      <c r="AB37" s="45">
        <v>74.201550699999999</v>
      </c>
      <c r="AC37" s="45">
        <v>75.930330499999997</v>
      </c>
      <c r="AD37" s="45">
        <v>30.596360000000001</v>
      </c>
      <c r="AE37" s="45">
        <v>38.938030699999999</v>
      </c>
      <c r="AF37" s="45">
        <v>39.055982899999997</v>
      </c>
      <c r="AG37" s="45">
        <v>48.925004800000004</v>
      </c>
      <c r="AH37" s="45">
        <v>29.643409200000001</v>
      </c>
      <c r="AI37" s="23">
        <v>6377.1220370000001</v>
      </c>
      <c r="AJ37" s="23">
        <v>64.030664000000002</v>
      </c>
      <c r="AL37" s="76"/>
      <c r="AM37" s="76"/>
      <c r="AN37" s="76"/>
      <c r="AO37" s="76"/>
      <c r="AP37" s="76"/>
      <c r="AQ37" s="76"/>
      <c r="AR37" s="76"/>
    </row>
    <row r="38" spans="1:44" outlineLevel="1" x14ac:dyDescent="0.3">
      <c r="A38" s="33"/>
      <c r="B38" s="33" t="s">
        <v>32</v>
      </c>
      <c r="C38" s="35" t="s">
        <v>375</v>
      </c>
      <c r="D38" s="33">
        <v>9000000</v>
      </c>
      <c r="E38" s="34">
        <v>12</v>
      </c>
      <c r="F38" s="35">
        <v>32</v>
      </c>
      <c r="G38" s="35">
        <v>30</v>
      </c>
      <c r="H38" s="35">
        <v>16</v>
      </c>
      <c r="J38" s="36">
        <f t="shared" si="0"/>
        <v>14.3625975</v>
      </c>
      <c r="K38" s="37">
        <f t="shared" si="1"/>
        <v>1.7022337777777778</v>
      </c>
      <c r="L38" s="46">
        <v>345320</v>
      </c>
      <c r="M38" s="38">
        <v>15320104</v>
      </c>
      <c r="N38" s="47">
        <v>78.8749234</v>
      </c>
      <c r="O38" s="47">
        <v>81.303758999999999</v>
      </c>
      <c r="P38" s="47">
        <v>31.398855999999999</v>
      </c>
      <c r="Q38" s="47">
        <v>39.032084099999999</v>
      </c>
      <c r="R38" s="47">
        <v>39.236460399999999</v>
      </c>
      <c r="S38" s="47">
        <v>51.458347699999997</v>
      </c>
      <c r="T38" s="47">
        <v>30.7591492</v>
      </c>
      <c r="U38" s="39">
        <v>4995.9305199999999</v>
      </c>
      <c r="V38" s="39">
        <v>45.960102999999997</v>
      </c>
      <c r="X38" s="36">
        <f t="shared" si="2"/>
        <v>14.36514</v>
      </c>
      <c r="Y38" s="37">
        <f t="shared" si="3"/>
        <v>1.7025351111111111</v>
      </c>
      <c r="Z38" s="46">
        <v>345320</v>
      </c>
      <c r="AA38" s="38">
        <v>15322816</v>
      </c>
      <c r="AB38" s="47">
        <v>78.8749234</v>
      </c>
      <c r="AC38" s="47">
        <v>81.303758999999999</v>
      </c>
      <c r="AD38" s="47">
        <v>31.398855999999999</v>
      </c>
      <c r="AE38" s="47">
        <v>39.032084099999999</v>
      </c>
      <c r="AF38" s="47">
        <v>39.236460399999999</v>
      </c>
      <c r="AG38" s="47">
        <v>51.458347699999997</v>
      </c>
      <c r="AH38" s="47">
        <v>30.7591492</v>
      </c>
      <c r="AI38" s="39">
        <v>7245.2752289999999</v>
      </c>
      <c r="AJ38" s="39">
        <v>64.649512999999999</v>
      </c>
      <c r="AL38" s="77"/>
      <c r="AM38" s="77"/>
      <c r="AN38" s="77"/>
      <c r="AO38" s="77"/>
      <c r="AP38" s="77"/>
      <c r="AQ38" s="77"/>
      <c r="AR38" s="77"/>
    </row>
    <row r="39" spans="1:44" ht="15.75" customHeight="1" outlineLevel="1" thickBot="1" x14ac:dyDescent="0.35">
      <c r="A39" s="17"/>
      <c r="B39" s="48" t="s">
        <v>32</v>
      </c>
      <c r="C39" s="49" t="s">
        <v>376</v>
      </c>
      <c r="D39" s="48">
        <v>9000000</v>
      </c>
      <c r="E39" s="50">
        <v>12</v>
      </c>
      <c r="F39" s="49">
        <v>32</v>
      </c>
      <c r="G39" s="49">
        <v>30</v>
      </c>
      <c r="H39" s="49">
        <v>24</v>
      </c>
      <c r="J39" s="51">
        <f t="shared" si="0"/>
        <v>24.605115000000001</v>
      </c>
      <c r="K39" s="52">
        <f t="shared" si="1"/>
        <v>2.916161777777778</v>
      </c>
      <c r="L39" s="53">
        <v>959262</v>
      </c>
      <c r="M39" s="54">
        <v>26245456</v>
      </c>
      <c r="N39" s="55">
        <v>999.99</v>
      </c>
      <c r="O39" s="55">
        <v>999.99</v>
      </c>
      <c r="P39" s="55">
        <v>31.960914899999999</v>
      </c>
      <c r="Q39" s="55">
        <v>39.078556599999999</v>
      </c>
      <c r="R39" s="55">
        <v>39.2919658</v>
      </c>
      <c r="S39" s="55">
        <v>999.99</v>
      </c>
      <c r="T39" s="55">
        <v>31.9384956</v>
      </c>
      <c r="U39" s="56">
        <v>4167.4651199999998</v>
      </c>
      <c r="V39" s="56">
        <v>46.898016499999997</v>
      </c>
      <c r="X39" s="51">
        <f t="shared" si="2"/>
        <v>24.607657499999998</v>
      </c>
      <c r="Y39" s="52">
        <f t="shared" si="3"/>
        <v>2.9164631111111112</v>
      </c>
      <c r="Z39" s="53">
        <v>959262</v>
      </c>
      <c r="AA39" s="54">
        <v>26248168</v>
      </c>
      <c r="AB39" s="55">
        <v>999.99</v>
      </c>
      <c r="AC39" s="55">
        <v>999.99</v>
      </c>
      <c r="AD39" s="55">
        <v>31.960914899999999</v>
      </c>
      <c r="AE39" s="55">
        <v>39.078556599999999</v>
      </c>
      <c r="AF39" s="55">
        <v>39.2919658</v>
      </c>
      <c r="AG39" s="55">
        <v>999.99</v>
      </c>
      <c r="AH39" s="55">
        <v>31.9384956</v>
      </c>
      <c r="AI39" s="56">
        <v>5998.4671799999996</v>
      </c>
      <c r="AJ39" s="56">
        <v>64.909412000000003</v>
      </c>
      <c r="AL39" s="78"/>
      <c r="AM39" s="78"/>
      <c r="AN39" s="78"/>
      <c r="AO39" s="78"/>
      <c r="AP39" s="78"/>
      <c r="AQ39" s="78"/>
      <c r="AR39" s="78"/>
    </row>
    <row r="40" spans="1:44" x14ac:dyDescent="0.3">
      <c r="A40" s="33"/>
      <c r="B40" s="33" t="s">
        <v>77</v>
      </c>
      <c r="C40" s="35" t="s">
        <v>372</v>
      </c>
      <c r="D40" s="33">
        <v>9000000</v>
      </c>
      <c r="E40" s="34">
        <v>12</v>
      </c>
      <c r="F40" s="35">
        <v>32</v>
      </c>
      <c r="G40" s="35">
        <v>30</v>
      </c>
      <c r="H40" s="35">
        <v>4</v>
      </c>
      <c r="J40" s="36">
        <f t="shared" si="0"/>
        <v>4.6654125000000004</v>
      </c>
      <c r="K40" s="37">
        <f t="shared" si="1"/>
        <v>0.55293777777777775</v>
      </c>
      <c r="L40" s="46">
        <v>3682816</v>
      </c>
      <c r="M40" s="38">
        <v>4976440</v>
      </c>
      <c r="N40" s="47">
        <v>71.772589999999994</v>
      </c>
      <c r="O40" s="47">
        <v>73.054673399999999</v>
      </c>
      <c r="P40" s="47">
        <v>32.629457000000002</v>
      </c>
      <c r="Q40" s="47">
        <v>42.363415600000003</v>
      </c>
      <c r="R40" s="47">
        <v>42.630890899999997</v>
      </c>
      <c r="S40" s="47">
        <v>47.8948581</v>
      </c>
      <c r="T40" s="47">
        <v>31.6212661</v>
      </c>
      <c r="U40" s="39">
        <v>4097.2672700000003</v>
      </c>
      <c r="V40" s="39">
        <v>43.409246600000003</v>
      </c>
      <c r="X40" s="36">
        <f t="shared" si="2"/>
        <v>4.6719375000000003</v>
      </c>
      <c r="Y40" s="37">
        <f t="shared" si="3"/>
        <v>0.55371111111111115</v>
      </c>
      <c r="Z40" s="46">
        <v>3682816</v>
      </c>
      <c r="AA40" s="38">
        <v>4983400</v>
      </c>
      <c r="AB40" s="47">
        <v>71.772589999999994</v>
      </c>
      <c r="AC40" s="47">
        <v>73.054673399999999</v>
      </c>
      <c r="AD40" s="47">
        <v>32.629457000000002</v>
      </c>
      <c r="AE40" s="47">
        <v>42.363415600000003</v>
      </c>
      <c r="AF40" s="47">
        <v>42.630890899999997</v>
      </c>
      <c r="AG40" s="47">
        <v>47.8948581</v>
      </c>
      <c r="AH40" s="47">
        <v>31.6212661</v>
      </c>
      <c r="AI40" s="39">
        <v>5802.1336220000003</v>
      </c>
      <c r="AJ40" s="39">
        <v>59.312308000000002</v>
      </c>
      <c r="AL40" s="77">
        <f t="array" ref="AL40">IF( OR(AND(ISBLANK(M40:M44)),AND(ISBLANK(AA40:AA44)), AND(ISBLANK(N40:N44)),AND(ISBLANK(AB40:AB44))), "·", bdRateExtend( M40:M44,N40:N44, AA40:AA44,AB40:AB44))</f>
        <v>1.3175625774231037E-4</v>
      </c>
      <c r="AM40" s="77">
        <f t="array" ref="AM40">IF( OR(AND(ISBLANK(M40:M44)),AND(ISBLANK(AA40:AA44)), AND(ISBLANK(O40:O44)),AND(ISBLANK(AC40:AC44))), "·", bdRateExtend( M40:M44,O40:O44, AA40:AA44,AC40:AC44))</f>
        <v>1.3222279680724647E-4</v>
      </c>
      <c r="AN40" s="77">
        <f t="array" ref="AN40">IF( OR(AND(ISBLANK(M40:M44)),AND(ISBLANK(AA40:AA44)), AND(ISBLANK(P40:P44)),AND(ISBLANK(AD40:AD44))), "·", bdRateExtend( M40:M44,P40:P44, AA40:AA44,AD40:AD44))</f>
        <v>7.1628677941926178E-4</v>
      </c>
      <c r="AO40" s="77">
        <f t="array" ref="AO40">IF( OR(AND(ISBLANK(M40:M44)),AND(ISBLANK(AA40:AA44)), AND(ISBLANK(Q40:Q44)),AND(ISBLANK(AE40:AE44))), "·", bdRateExtend( M40:M44,Q40:Q44, AA40:AA44,AE40:AE44))</f>
        <v>8.1158410365689271E-4</v>
      </c>
      <c r="AP40" s="77">
        <f t="array" ref="AP40">IF( OR(AND(ISBLANK(M40:M44)),AND(ISBLANK(AA40:AA44)), AND(ISBLANK(R40:R44)),AND(ISBLANK(AF40:AF44))), "·", bdRateExtend( M40:M44,R40:R44, AA40:AA44,AF40:AF44))</f>
        <v>8.06896786827771E-4</v>
      </c>
      <c r="AQ40" s="77">
        <f t="array" ref="AQ40">IF( OR(AND(ISBLANK(M40:M44)),AND(ISBLANK(AA40:AA44)), AND(ISBLANK(S40:S44)),AND(ISBLANK(AG40:AG44))), "·", bdRateExtend( M40:M44,S40:S44, AA40:AA44,AG40:AG44))</f>
        <v>1.2984023620932206E-4</v>
      </c>
      <c r="AR40" s="77">
        <f t="array" ref="AR40">IF( OR(AND(ISBLANK(M40:M44)),AND(ISBLANK(AA40:AA44)), AND(ISBLANK(T40:T44)),AND(ISBLANK(AH40:AH44))), "·", bdRateExtend( M40:M44,T40:T44, AA40:AA44,AH40:AH44))</f>
        <v>5.9446500999005281E-4</v>
      </c>
    </row>
    <row r="41" spans="1:44" outlineLevel="1" x14ac:dyDescent="0.3">
      <c r="A41" s="17"/>
      <c r="B41" s="17" t="s">
        <v>77</v>
      </c>
      <c r="C41" s="19" t="s">
        <v>373</v>
      </c>
      <c r="D41" s="17">
        <v>9000000</v>
      </c>
      <c r="E41" s="18">
        <v>12</v>
      </c>
      <c r="F41" s="19">
        <v>32</v>
      </c>
      <c r="G41" s="19">
        <v>30</v>
      </c>
      <c r="H41" s="19">
        <v>6</v>
      </c>
      <c r="J41" s="20">
        <f t="shared" si="0"/>
        <v>5.9272875000000003</v>
      </c>
      <c r="K41" s="21">
        <f t="shared" si="1"/>
        <v>0.7024933333333333</v>
      </c>
      <c r="L41" s="44">
        <v>3682816</v>
      </c>
      <c r="M41" s="22">
        <v>6322440</v>
      </c>
      <c r="N41" s="45">
        <v>73.225280499999997</v>
      </c>
      <c r="O41" s="45">
        <v>74.655760599999994</v>
      </c>
      <c r="P41" s="45">
        <v>33.081751199999999</v>
      </c>
      <c r="Q41" s="45">
        <v>42.546721900000001</v>
      </c>
      <c r="R41" s="45">
        <v>42.901752199999997</v>
      </c>
      <c r="S41" s="45">
        <v>48.666862000000002</v>
      </c>
      <c r="T41" s="45">
        <v>32.104197300000003</v>
      </c>
      <c r="U41" s="23">
        <v>4115.2605800000001</v>
      </c>
      <c r="V41" s="23">
        <v>44.175546799999999</v>
      </c>
      <c r="X41" s="20">
        <f t="shared" si="2"/>
        <v>5.9338649999999999</v>
      </c>
      <c r="Y41" s="21">
        <f t="shared" si="3"/>
        <v>0.70327288888888884</v>
      </c>
      <c r="Z41" s="44">
        <v>3682816</v>
      </c>
      <c r="AA41" s="22">
        <v>6329456</v>
      </c>
      <c r="AB41" s="45">
        <v>73.225280499999997</v>
      </c>
      <c r="AC41" s="45">
        <v>74.655760599999994</v>
      </c>
      <c r="AD41" s="45">
        <v>33.081751199999999</v>
      </c>
      <c r="AE41" s="45">
        <v>42.546721900000001</v>
      </c>
      <c r="AF41" s="45">
        <v>42.901752199999997</v>
      </c>
      <c r="AG41" s="45">
        <v>48.666862000000002</v>
      </c>
      <c r="AH41" s="45">
        <v>32.104197300000003</v>
      </c>
      <c r="AI41" s="23">
        <v>5821.1151060000002</v>
      </c>
      <c r="AJ41" s="23">
        <v>60.516354999999997</v>
      </c>
      <c r="AL41" s="76"/>
      <c r="AM41" s="76"/>
      <c r="AN41" s="76"/>
      <c r="AO41" s="76"/>
      <c r="AP41" s="76"/>
      <c r="AQ41" s="76"/>
      <c r="AR41" s="76"/>
    </row>
    <row r="42" spans="1:44" outlineLevel="1" x14ac:dyDescent="0.3">
      <c r="A42" s="33"/>
      <c r="B42" s="33" t="s">
        <v>77</v>
      </c>
      <c r="C42" s="35" t="s">
        <v>374</v>
      </c>
      <c r="D42" s="33">
        <v>9000000</v>
      </c>
      <c r="E42" s="34">
        <v>12</v>
      </c>
      <c r="F42" s="35">
        <v>32</v>
      </c>
      <c r="G42" s="35">
        <v>30</v>
      </c>
      <c r="H42" s="35">
        <v>11</v>
      </c>
      <c r="J42" s="36">
        <f t="shared" si="0"/>
        <v>7.8611924999999996</v>
      </c>
      <c r="K42" s="37">
        <f t="shared" si="1"/>
        <v>0.93169688888888891</v>
      </c>
      <c r="L42" s="46">
        <v>3682816</v>
      </c>
      <c r="M42" s="38">
        <v>8385272</v>
      </c>
      <c r="N42" s="47">
        <v>74.635751799999994</v>
      </c>
      <c r="O42" s="47">
        <v>76.222577799999996</v>
      </c>
      <c r="P42" s="47">
        <v>33.552824600000001</v>
      </c>
      <c r="Q42" s="47">
        <v>42.682899800000001</v>
      </c>
      <c r="R42" s="47">
        <v>43.149299900000003</v>
      </c>
      <c r="S42" s="47">
        <v>49.386750999999997</v>
      </c>
      <c r="T42" s="47">
        <v>32.583973700000001</v>
      </c>
      <c r="U42" s="39">
        <v>4146.4335899999996</v>
      </c>
      <c r="V42" s="39">
        <v>44.8632499</v>
      </c>
      <c r="X42" s="36">
        <f t="shared" si="2"/>
        <v>7.8687674999999997</v>
      </c>
      <c r="Y42" s="37">
        <f t="shared" si="3"/>
        <v>0.93259466666666668</v>
      </c>
      <c r="Z42" s="46">
        <v>3682816</v>
      </c>
      <c r="AA42" s="38">
        <v>8393352</v>
      </c>
      <c r="AB42" s="47">
        <v>74.635751799999994</v>
      </c>
      <c r="AC42" s="47">
        <v>76.222577799999996</v>
      </c>
      <c r="AD42" s="47">
        <v>33.552824600000001</v>
      </c>
      <c r="AE42" s="47">
        <v>42.682899800000001</v>
      </c>
      <c r="AF42" s="47">
        <v>43.149299900000003</v>
      </c>
      <c r="AG42" s="47">
        <v>49.386750999999997</v>
      </c>
      <c r="AH42" s="47">
        <v>32.583973700000001</v>
      </c>
      <c r="AI42" s="39">
        <v>5800.7231830000001</v>
      </c>
      <c r="AJ42" s="39">
        <v>59.895257000000001</v>
      </c>
      <c r="AL42" s="77"/>
      <c r="AM42" s="77"/>
      <c r="AN42" s="77"/>
      <c r="AO42" s="77"/>
      <c r="AP42" s="77"/>
      <c r="AQ42" s="77"/>
      <c r="AR42" s="77"/>
    </row>
    <row r="43" spans="1:44" outlineLevel="1" x14ac:dyDescent="0.3">
      <c r="A43" s="17"/>
      <c r="B43" s="17" t="s">
        <v>77</v>
      </c>
      <c r="C43" s="19" t="s">
        <v>375</v>
      </c>
      <c r="D43" s="17">
        <v>9000000</v>
      </c>
      <c r="E43" s="18">
        <v>12</v>
      </c>
      <c r="F43" s="19">
        <v>32</v>
      </c>
      <c r="G43" s="19">
        <v>30</v>
      </c>
      <c r="H43" s="19">
        <v>16</v>
      </c>
      <c r="J43" s="20">
        <f t="shared" si="0"/>
        <v>14.016254999999999</v>
      </c>
      <c r="K43" s="21">
        <f t="shared" si="1"/>
        <v>1.6611857777777779</v>
      </c>
      <c r="L43" s="44">
        <v>345450</v>
      </c>
      <c r="M43" s="22">
        <v>14950672</v>
      </c>
      <c r="N43" s="45">
        <v>79.3651141</v>
      </c>
      <c r="O43" s="45">
        <v>81.638148000000001</v>
      </c>
      <c r="P43" s="45">
        <v>34.382055399999999</v>
      </c>
      <c r="Q43" s="45">
        <v>42.831275900000001</v>
      </c>
      <c r="R43" s="45">
        <v>43.398457999999998</v>
      </c>
      <c r="S43" s="45">
        <v>52.3824355</v>
      </c>
      <c r="T43" s="45">
        <v>33.854595099999997</v>
      </c>
      <c r="U43" s="23">
        <v>4823.8829800000003</v>
      </c>
      <c r="V43" s="23">
        <v>45.576692700000002</v>
      </c>
      <c r="X43" s="20">
        <f t="shared" si="2"/>
        <v>14.0187975</v>
      </c>
      <c r="Y43" s="21">
        <f t="shared" si="3"/>
        <v>1.6614871111111111</v>
      </c>
      <c r="Z43" s="44">
        <v>345450</v>
      </c>
      <c r="AA43" s="22">
        <v>14953384</v>
      </c>
      <c r="AB43" s="45">
        <v>79.3651141</v>
      </c>
      <c r="AC43" s="45">
        <v>81.638148000000001</v>
      </c>
      <c r="AD43" s="45">
        <v>34.382055399999999</v>
      </c>
      <c r="AE43" s="45">
        <v>42.831275900000001</v>
      </c>
      <c r="AF43" s="45">
        <v>43.398457999999998</v>
      </c>
      <c r="AG43" s="45">
        <v>52.3824355</v>
      </c>
      <c r="AH43" s="45">
        <v>33.854595099999997</v>
      </c>
      <c r="AI43" s="23">
        <v>6683.4376560000001</v>
      </c>
      <c r="AJ43" s="23">
        <v>64.690973999999997</v>
      </c>
      <c r="AL43" s="76"/>
      <c r="AM43" s="76"/>
      <c r="AN43" s="76"/>
      <c r="AO43" s="76"/>
      <c r="AP43" s="76"/>
      <c r="AQ43" s="76"/>
      <c r="AR43" s="76"/>
    </row>
    <row r="44" spans="1:44" ht="15.75" customHeight="1" outlineLevel="1" thickBot="1" x14ac:dyDescent="0.35">
      <c r="A44" s="25"/>
      <c r="B44" s="25" t="s">
        <v>77</v>
      </c>
      <c r="C44" s="27" t="s">
        <v>376</v>
      </c>
      <c r="D44" s="25">
        <v>9000000</v>
      </c>
      <c r="E44" s="26">
        <v>12</v>
      </c>
      <c r="F44" s="27">
        <v>32</v>
      </c>
      <c r="G44" s="27">
        <v>30</v>
      </c>
      <c r="H44" s="27">
        <v>24</v>
      </c>
      <c r="J44" s="28">
        <f t="shared" si="0"/>
        <v>23.147032500000002</v>
      </c>
      <c r="K44" s="29">
        <f t="shared" si="1"/>
        <v>2.7433519999999998</v>
      </c>
      <c r="L44" s="57">
        <v>959594</v>
      </c>
      <c r="M44" s="30">
        <v>24690168</v>
      </c>
      <c r="N44" s="58">
        <v>999.99</v>
      </c>
      <c r="O44" s="58">
        <v>999.99</v>
      </c>
      <c r="P44" s="58">
        <v>34.845751499999999</v>
      </c>
      <c r="Q44" s="58">
        <v>42.941726000000003</v>
      </c>
      <c r="R44" s="58">
        <v>43.573454499999997</v>
      </c>
      <c r="S44" s="58">
        <v>999.99</v>
      </c>
      <c r="T44" s="58">
        <v>34.833267399999997</v>
      </c>
      <c r="U44" s="31">
        <v>3888.4764700000001</v>
      </c>
      <c r="V44" s="31">
        <v>46.2346997</v>
      </c>
      <c r="X44" s="28">
        <f t="shared" si="2"/>
        <v>23.149574999999999</v>
      </c>
      <c r="Y44" s="29">
        <f t="shared" si="3"/>
        <v>2.7436533333333335</v>
      </c>
      <c r="Z44" s="57">
        <v>959594</v>
      </c>
      <c r="AA44" s="30">
        <v>24692880</v>
      </c>
      <c r="AB44" s="58">
        <v>999.99</v>
      </c>
      <c r="AC44" s="58">
        <v>999.99</v>
      </c>
      <c r="AD44" s="58">
        <v>34.845751499999999</v>
      </c>
      <c r="AE44" s="58">
        <v>42.941726000000003</v>
      </c>
      <c r="AF44" s="58">
        <v>43.573454499999997</v>
      </c>
      <c r="AG44" s="58">
        <v>999.99</v>
      </c>
      <c r="AH44" s="58">
        <v>34.833267399999997</v>
      </c>
      <c r="AI44" s="31">
        <v>5515.7878469999996</v>
      </c>
      <c r="AJ44" s="31">
        <v>60.148485999999998</v>
      </c>
      <c r="AL44" s="79"/>
      <c r="AM44" s="79"/>
      <c r="AN44" s="79"/>
      <c r="AO44" s="79"/>
      <c r="AP44" s="79"/>
      <c r="AQ44" s="79"/>
      <c r="AR44" s="79"/>
    </row>
    <row r="45" spans="1:44" x14ac:dyDescent="0.3">
      <c r="B45" s="41" t="s">
        <v>7</v>
      </c>
      <c r="K45" s="42">
        <f>AVERAGE(K5:K14)</f>
        <v>1.1633525032753655</v>
      </c>
      <c r="Y45" s="42">
        <f>AVERAGE(Y5:Y14)</f>
        <v>1.1640299171402491</v>
      </c>
      <c r="AL45" s="80">
        <f t="shared" ref="AL45:AR45" si="4">AVERAGE(AL5:AL14)</f>
        <v>2.4298969207270371E-4</v>
      </c>
      <c r="AM45" s="80">
        <f t="shared" si="4"/>
        <v>2.4392241240422941E-4</v>
      </c>
      <c r="AN45" s="80">
        <f t="shared" si="4"/>
        <v>8.6987081719558379E-4</v>
      </c>
      <c r="AO45" s="80">
        <f t="shared" si="4"/>
        <v>9.2262671383769312E-4</v>
      </c>
      <c r="AP45" s="80">
        <f t="shared" si="4"/>
        <v>9.3060671757627667E-4</v>
      </c>
      <c r="AQ45" s="80">
        <f t="shared" si="4"/>
        <v>2.3997817689325185E-4</v>
      </c>
      <c r="AR45" s="80">
        <f t="shared" si="4"/>
        <v>7.3665337065431657E-4</v>
      </c>
    </row>
    <row r="46" spans="1:44" x14ac:dyDescent="0.3">
      <c r="B46" s="41" t="s">
        <v>8</v>
      </c>
      <c r="K46" s="42">
        <f>AVERAGE(K15:K24)</f>
        <v>0.9966777049946407</v>
      </c>
      <c r="Y46" s="42">
        <f>AVERAGE(Y15:Y24)</f>
        <v>0.99725461090683587</v>
      </c>
      <c r="AL46" s="80">
        <f t="shared" ref="AL46:AR46" si="5">AVERAGE(AL15:AL24)</f>
        <v>2.0633503028877342E-4</v>
      </c>
      <c r="AM46" s="80">
        <f t="shared" si="5"/>
        <v>2.0741316483785521E-4</v>
      </c>
      <c r="AN46" s="80">
        <f t="shared" si="5"/>
        <v>1.3494620019455228E-3</v>
      </c>
      <c r="AO46" s="80">
        <f t="shared" si="5"/>
        <v>1.2090308853133225E-3</v>
      </c>
      <c r="AP46" s="80">
        <f t="shared" si="5"/>
        <v>1.2277887434078982E-3</v>
      </c>
      <c r="AQ46" s="80">
        <f t="shared" si="5"/>
        <v>2.0253275273851568E-4</v>
      </c>
      <c r="AR46" s="80">
        <f t="shared" si="5"/>
        <v>8.2512359199871099E-4</v>
      </c>
    </row>
    <row r="47" spans="1:44" x14ac:dyDescent="0.3">
      <c r="B47" s="41" t="s">
        <v>9</v>
      </c>
      <c r="K47" s="42">
        <f>AVERAGE(K25:K44)</f>
        <v>1.3828290042848088</v>
      </c>
      <c r="Y47" s="42">
        <f>AVERAGE(Y25:Y44)</f>
        <v>1.3835736117712689</v>
      </c>
      <c r="AL47" s="80">
        <f t="shared" ref="AL47:AR47" si="6">AVERAGE(AL25:AL44)</f>
        <v>3.9525985417998566E-4</v>
      </c>
      <c r="AM47" s="80">
        <f t="shared" si="6"/>
        <v>3.8697491626532576E-4</v>
      </c>
      <c r="AN47" s="80">
        <f t="shared" si="6"/>
        <v>7.9301339877835275E-4</v>
      </c>
      <c r="AO47" s="80">
        <f t="shared" si="6"/>
        <v>9.4309080153837099E-4</v>
      </c>
      <c r="AP47" s="80">
        <f t="shared" si="6"/>
        <v>9.2386935699900752E-4</v>
      </c>
      <c r="AQ47" s="80">
        <f t="shared" si="6"/>
        <v>3.6103464479436687E-4</v>
      </c>
      <c r="AR47" s="80">
        <f t="shared" si="6"/>
        <v>6.5558721556024935E-4</v>
      </c>
    </row>
    <row r="48" spans="1:44" x14ac:dyDescent="0.3">
      <c r="B48" s="41" t="s">
        <v>10</v>
      </c>
      <c r="K48" s="42">
        <f>AVERAGE(K5:K44)</f>
        <v>1.2314220542099057</v>
      </c>
      <c r="Y48" s="42">
        <f>AVERAGE(Y5:Y44)</f>
        <v>1.2321079378974065</v>
      </c>
      <c r="AL48" s="80">
        <f t="shared" ref="AL48:AR48" si="7">AVERAGE(AL5:AL44)</f>
        <v>3.0996110768036211E-4</v>
      </c>
      <c r="AM48" s="80">
        <f t="shared" si="7"/>
        <v>3.0632135244318404E-4</v>
      </c>
      <c r="AN48" s="80">
        <f t="shared" si="7"/>
        <v>9.5133990417445302E-4</v>
      </c>
      <c r="AO48" s="80">
        <f t="shared" si="7"/>
        <v>1.0044598005569394E-3</v>
      </c>
      <c r="AP48" s="80">
        <f t="shared" si="7"/>
        <v>1.0015335437455475E-3</v>
      </c>
      <c r="AQ48" s="80">
        <f t="shared" si="7"/>
        <v>2.9114505480512531E-4</v>
      </c>
      <c r="AR48" s="80">
        <f t="shared" si="7"/>
        <v>7.1823784844338157E-4</v>
      </c>
    </row>
    <row r="49" spans="1:36" x14ac:dyDescent="0.3">
      <c r="A49" s="41" t="s">
        <v>178</v>
      </c>
      <c r="B49" s="41" t="s">
        <v>179</v>
      </c>
      <c r="U49" s="43">
        <f>SUM(U5:U14,U15:U24,U25:U44)</f>
        <v>119174.67448999998</v>
      </c>
      <c r="V49" s="43">
        <f>SUM(V5:V14,V15:V24,V25:V44)</f>
        <v>1175.7360981999998</v>
      </c>
      <c r="AI49" s="43">
        <f>SUM(AI5:AI14,AI15:AI24,AI25:AI44)</f>
        <v>172451.00217200001</v>
      </c>
      <c r="AJ49" s="43">
        <f>SUM(AJ5:AJ14,AJ15:AJ24,AJ25:AJ44)</f>
        <v>1744.274588</v>
      </c>
    </row>
    <row r="50" spans="1:36" x14ac:dyDescent="0.3">
      <c r="B50" s="41" t="s">
        <v>180</v>
      </c>
      <c r="AI50" s="8">
        <f>AI49/U49</f>
        <v>1.4470440377537637</v>
      </c>
      <c r="AJ50" s="8">
        <f>AJ49/V49</f>
        <v>1.4835596105881308</v>
      </c>
    </row>
  </sheetData>
  <mergeCells count="29">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R50"/>
  <sheetViews>
    <sheetView zoomScale="70" zoomScaleNormal="70" workbookViewId="0">
      <pane xSplit="2" ySplit="4" topLeftCell="C5" activePane="bottomRight" state="frozen"/>
      <selection pane="topRight" activeCell="C1" sqref="C1"/>
      <selection pane="bottomLeft" activeCell="A5" sqref="A5"/>
      <selection pane="bottomRight" activeCell="AL5" sqref="AL5:AR48"/>
    </sheetView>
  </sheetViews>
  <sheetFormatPr defaultColWidth="9.109375" defaultRowHeight="14.4" outlineLevelRow="1" x14ac:dyDescent="0.3"/>
  <cols>
    <col min="2" max="2" width="24.6640625" customWidth="1"/>
    <col min="4" max="5" width="10.6640625" customWidth="1"/>
    <col min="9" max="9" width="1.6640625" customWidth="1"/>
    <col min="11" max="12" width="10.6640625" customWidth="1"/>
    <col min="13" max="13" width="12.6640625" customWidth="1"/>
    <col min="14" max="20" width="11.6640625" customWidth="1"/>
    <col min="23" max="23" width="1.6640625" customWidth="1"/>
    <col min="25" max="26" width="10.6640625" customWidth="1"/>
    <col min="27" max="27" width="12.6640625" customWidth="1"/>
    <col min="28" max="34" width="11.6640625" customWidth="1"/>
    <col min="37" max="37" width="1.6640625" customWidth="1"/>
    <col min="40" max="44" width="11.6640625" customWidth="1"/>
    <col min="45" max="45" width="1.6640625" customWidth="1"/>
  </cols>
  <sheetData>
    <row r="1" spans="1:44" x14ac:dyDescent="0.3">
      <c r="A1" s="73" t="s">
        <v>377</v>
      </c>
      <c r="B1" s="61"/>
      <c r="C1" s="61"/>
      <c r="D1" s="61"/>
      <c r="E1" s="61"/>
      <c r="F1" s="61"/>
      <c r="G1" s="61"/>
      <c r="H1" s="61"/>
      <c r="J1" s="69" t="str">
        <f>Summary!C1</f>
        <v>F032_v3.0</v>
      </c>
      <c r="K1" s="61"/>
      <c r="L1" s="61"/>
      <c r="M1" s="61"/>
      <c r="N1" s="61"/>
      <c r="O1" s="61"/>
      <c r="P1" s="61"/>
      <c r="Q1" s="61"/>
      <c r="R1" s="61"/>
      <c r="S1" s="61"/>
      <c r="T1" s="61"/>
      <c r="U1" s="61"/>
      <c r="V1" s="61"/>
      <c r="X1" s="70" t="str">
        <f>Summary!C2</f>
        <v>integration-of-m62939-ee4-7-test-3-4-and-m63491-padding-at-the-bottom</v>
      </c>
      <c r="Y1" s="61"/>
      <c r="Z1" s="61"/>
      <c r="AA1" s="61"/>
      <c r="AB1" s="61"/>
      <c r="AC1" s="61"/>
      <c r="AD1" s="61"/>
      <c r="AE1" s="61"/>
      <c r="AF1" s="61"/>
      <c r="AG1" s="61"/>
      <c r="AH1" s="61"/>
      <c r="AI1" s="61"/>
      <c r="AJ1" s="61"/>
    </row>
    <row r="2" spans="1:44" ht="30" customHeight="1" x14ac:dyDescent="0.3">
      <c r="A2" s="71" t="s">
        <v>151</v>
      </c>
      <c r="B2" s="72" t="s">
        <v>152</v>
      </c>
      <c r="C2" s="71" t="s">
        <v>343</v>
      </c>
      <c r="D2" s="72" t="s">
        <v>153</v>
      </c>
      <c r="E2" s="71" t="s">
        <v>154</v>
      </c>
      <c r="F2" s="72" t="s">
        <v>155</v>
      </c>
      <c r="G2" s="71" t="s">
        <v>156</v>
      </c>
      <c r="H2" s="72" t="s">
        <v>344</v>
      </c>
      <c r="J2" s="71" t="s">
        <v>129</v>
      </c>
      <c r="K2" s="72" t="s">
        <v>133</v>
      </c>
      <c r="L2" s="71" t="s">
        <v>83</v>
      </c>
      <c r="M2" s="72" t="s">
        <v>122</v>
      </c>
      <c r="N2" s="75" t="s">
        <v>345</v>
      </c>
      <c r="O2" s="61"/>
      <c r="P2" s="61"/>
      <c r="Q2" s="61"/>
      <c r="R2" s="61"/>
      <c r="S2" s="74" t="s">
        <v>346</v>
      </c>
      <c r="T2" s="61"/>
      <c r="U2" s="71" t="s">
        <v>124</v>
      </c>
      <c r="V2" s="72" t="s">
        <v>104</v>
      </c>
      <c r="X2" s="71" t="s">
        <v>129</v>
      </c>
      <c r="Y2" s="72" t="s">
        <v>133</v>
      </c>
      <c r="Z2" s="71" t="s">
        <v>83</v>
      </c>
      <c r="AA2" s="72" t="s">
        <v>122</v>
      </c>
      <c r="AB2" s="75" t="s">
        <v>345</v>
      </c>
      <c r="AC2" s="61"/>
      <c r="AD2" s="61"/>
      <c r="AE2" s="61"/>
      <c r="AF2" s="61"/>
      <c r="AG2" s="74" t="s">
        <v>346</v>
      </c>
      <c r="AH2" s="61"/>
      <c r="AI2" s="71" t="s">
        <v>124</v>
      </c>
      <c r="AJ2" s="72" t="s">
        <v>104</v>
      </c>
      <c r="AL2" s="75" t="s">
        <v>15</v>
      </c>
      <c r="AM2" s="61"/>
      <c r="AN2" s="61"/>
      <c r="AO2" s="61"/>
      <c r="AP2" s="61"/>
      <c r="AQ2" s="74" t="s">
        <v>16</v>
      </c>
      <c r="AR2" s="61"/>
    </row>
    <row r="3" spans="1:44" ht="15.75" customHeight="1" thickBot="1" x14ac:dyDescent="0.35">
      <c r="A3" s="63"/>
      <c r="B3" s="63"/>
      <c r="C3" s="63"/>
      <c r="D3" s="63"/>
      <c r="E3" s="63"/>
      <c r="F3" s="63"/>
      <c r="G3" s="63"/>
      <c r="H3" s="63"/>
      <c r="J3" s="63"/>
      <c r="K3" s="63"/>
      <c r="L3" s="63"/>
      <c r="M3" s="63"/>
      <c r="N3" s="13" t="s">
        <v>17</v>
      </c>
      <c r="O3" s="13" t="s">
        <v>18</v>
      </c>
      <c r="P3" s="13" t="s">
        <v>19</v>
      </c>
      <c r="Q3" s="13" t="s">
        <v>20</v>
      </c>
      <c r="R3" s="13" t="s">
        <v>21</v>
      </c>
      <c r="S3" s="14" t="s">
        <v>22</v>
      </c>
      <c r="T3" s="14" t="s">
        <v>19</v>
      </c>
      <c r="U3" s="63"/>
      <c r="V3" s="63"/>
      <c r="X3" s="63"/>
      <c r="Y3" s="63"/>
      <c r="Z3" s="63"/>
      <c r="AA3" s="63"/>
      <c r="AB3" s="13" t="s">
        <v>17</v>
      </c>
      <c r="AC3" s="13" t="s">
        <v>18</v>
      </c>
      <c r="AD3" s="13" t="s">
        <v>19</v>
      </c>
      <c r="AE3" s="13" t="s">
        <v>20</v>
      </c>
      <c r="AF3" s="13" t="s">
        <v>21</v>
      </c>
      <c r="AG3" s="14" t="s">
        <v>22</v>
      </c>
      <c r="AH3" s="14" t="s">
        <v>19</v>
      </c>
      <c r="AI3" s="63"/>
      <c r="AJ3" s="63"/>
      <c r="AL3" s="13" t="s">
        <v>17</v>
      </c>
      <c r="AM3" s="13" t="s">
        <v>18</v>
      </c>
      <c r="AN3" s="13" t="s">
        <v>19</v>
      </c>
      <c r="AO3" s="13" t="s">
        <v>20</v>
      </c>
      <c r="AP3" s="13" t="s">
        <v>21</v>
      </c>
      <c r="AQ3" s="14" t="s">
        <v>22</v>
      </c>
      <c r="AR3" s="14" t="s">
        <v>19</v>
      </c>
    </row>
    <row r="4" spans="1:44" ht="53.25" hidden="1" customHeight="1" x14ac:dyDescent="0.3">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44" x14ac:dyDescent="0.3">
      <c r="A5" s="17" t="s">
        <v>175</v>
      </c>
      <c r="B5" s="17" t="s">
        <v>40</v>
      </c>
      <c r="C5" s="19" t="s">
        <v>372</v>
      </c>
      <c r="D5" s="17">
        <v>11997440</v>
      </c>
      <c r="E5" s="18">
        <v>10</v>
      </c>
      <c r="F5" s="19">
        <v>32</v>
      </c>
      <c r="G5" s="19">
        <v>30</v>
      </c>
      <c r="H5" s="19">
        <v>4</v>
      </c>
      <c r="J5" s="20">
        <f t="shared" ref="J5:J44" si="0">IF(OR(ISBLANK(M5),ISBLANK(G5)),"·",M5*G5/F5/1000000)</f>
        <v>4.8313199999999998</v>
      </c>
      <c r="K5" s="21">
        <f t="shared" ref="K5:K44" si="1">IF(ISBLANK(M5),"·",M5/D5)</f>
        <v>0.42954230235783636</v>
      </c>
      <c r="L5" s="44">
        <v>2415872</v>
      </c>
      <c r="M5" s="22">
        <v>5153408</v>
      </c>
      <c r="N5" s="45">
        <v>68.067207100000005</v>
      </c>
      <c r="O5" s="45">
        <v>69.049653000000006</v>
      </c>
      <c r="P5" s="45">
        <v>28.384539700000001</v>
      </c>
      <c r="Q5" s="45">
        <v>34.176665900000003</v>
      </c>
      <c r="R5" s="45">
        <v>33.740744399999997</v>
      </c>
      <c r="S5" s="45">
        <v>48.886397899999999</v>
      </c>
      <c r="T5" s="45">
        <v>27.0767916</v>
      </c>
      <c r="U5" s="23">
        <v>1371.21738</v>
      </c>
      <c r="V5" s="23">
        <v>13.768363000000001</v>
      </c>
      <c r="X5" s="20">
        <f t="shared" ref="X5:X44" si="2">IF(OR(ISBLANK(AA5),ISBLANK(G5)),"·",AA5*G5/F5/1000000)</f>
        <v>4.8342375000000004</v>
      </c>
      <c r="Y5" s="21">
        <f t="shared" ref="Y5:Y44" si="3">IF(ISBLANK(AA5),"·",AA5/D5)</f>
        <v>0.42980169102741916</v>
      </c>
      <c r="Z5" s="44">
        <v>2415872</v>
      </c>
      <c r="AA5" s="22">
        <v>5156520</v>
      </c>
      <c r="AB5" s="45">
        <v>68.067207100000005</v>
      </c>
      <c r="AC5" s="45">
        <v>69.049653000000006</v>
      </c>
      <c r="AD5" s="45">
        <v>28.384539700000001</v>
      </c>
      <c r="AE5" s="45">
        <v>34.176665900000003</v>
      </c>
      <c r="AF5" s="45">
        <v>33.740744399999997</v>
      </c>
      <c r="AG5" s="45">
        <v>48.886397899999999</v>
      </c>
      <c r="AH5" s="45">
        <v>27.0767916</v>
      </c>
      <c r="AI5" s="23">
        <v>1891.4482290000001</v>
      </c>
      <c r="AJ5" s="23">
        <v>20.663481999999998</v>
      </c>
      <c r="AL5" s="76">
        <f t="array" ref="AL5">IF( OR(AND(ISBLANK(M5:M9)),AND(ISBLANK(AA5:AA9)), AND(ISBLANK(N5:N9)),AND(ISBLANK(AB5:AB9))), "·", bdRateExtend( M5:M9,N5:N9, AA5:AA9,AB5:AB9))</f>
        <v>1.4149065273483252E-4</v>
      </c>
      <c r="AM5" s="76">
        <f t="array" ref="AM5">IF( OR(AND(ISBLANK(M5:M9)),AND(ISBLANK(AA5:AA9)), AND(ISBLANK(O5:O9)),AND(ISBLANK(AC5:AC9))), "·", bdRateExtend( M5:M9,O5:O9, AA5:AA9,AC5:AC9))</f>
        <v>1.4171429365239518E-4</v>
      </c>
      <c r="AN5" s="76">
        <f t="array" ref="AN5">IF( OR(AND(ISBLANK(M5:M9)),AND(ISBLANK(AA5:AA9)), AND(ISBLANK(P5:P9)),AND(ISBLANK(AD5:AD9))), "·", bdRateExtend( M5:M9,P5:P9, AA5:AA9,AD5:AD9))</f>
        <v>3.6107463554069241E-4</v>
      </c>
      <c r="AO5" s="76">
        <f t="array" ref="AO5">IF( OR(AND(ISBLANK(M5:M9)),AND(ISBLANK(AA5:AA9)), AND(ISBLANK(Q5:Q9)),AND(ISBLANK(AE5:AE9))), "·", bdRateExtend( M5:M9,Q5:Q9, AA5:AA9,AE5:AE9))</f>
        <v>3.861209059579096E-4</v>
      </c>
      <c r="AP5" s="76">
        <f t="array" ref="AP5">IF( OR(AND(ISBLANK(M5:M9)),AND(ISBLANK(AA5:AA9)), AND(ISBLANK(R5:R9)),AND(ISBLANK(AF5:AF9))), "·", bdRateExtend( M5:M9,R5:R9, AA5:AA9,AF5:AF9))</f>
        <v>3.8565469261508944E-4</v>
      </c>
      <c r="AQ5" s="76">
        <f t="array" ref="AQ5">IF( OR(AND(ISBLANK(M5:M9)),AND(ISBLANK(AA5:AA9)), AND(ISBLANK(S5:S9)),AND(ISBLANK(AG5:AG9))), "·", bdRateExtend( M5:M9,S5:S9, AA5:AA9,AG5:AG9))</f>
        <v>1.4073168096628841E-4</v>
      </c>
      <c r="AR5" s="76">
        <f t="array" ref="AR5">IF( OR(AND(ISBLANK(M5:M9)),AND(ISBLANK(AA5:AA9)), AND(ISBLANK(T5:T9)),AND(ISBLANK(AH5:AH9))), "·", bdRateExtend( M5:M9,T5:T9, AA5:AA9,AH5:AH9))</f>
        <v>3.0371191947176079E-4</v>
      </c>
    </row>
    <row r="6" spans="1:44" outlineLevel="1" x14ac:dyDescent="0.3">
      <c r="A6" s="33"/>
      <c r="B6" s="33" t="s">
        <v>40</v>
      </c>
      <c r="C6" s="35" t="s">
        <v>373</v>
      </c>
      <c r="D6" s="33">
        <v>11997440</v>
      </c>
      <c r="E6" s="34">
        <v>10</v>
      </c>
      <c r="F6" s="35">
        <v>32</v>
      </c>
      <c r="G6" s="35">
        <v>30</v>
      </c>
      <c r="H6" s="35">
        <v>8</v>
      </c>
      <c r="J6" s="36">
        <f t="shared" si="0"/>
        <v>6.9423000000000004</v>
      </c>
      <c r="K6" s="37">
        <f t="shared" si="1"/>
        <v>0.61722500800170699</v>
      </c>
      <c r="L6" s="46">
        <v>2415872</v>
      </c>
      <c r="M6" s="38">
        <v>7405120</v>
      </c>
      <c r="N6" s="47">
        <v>69.125408300000004</v>
      </c>
      <c r="O6" s="47">
        <v>70.236529500000003</v>
      </c>
      <c r="P6" s="47">
        <v>29.8238117</v>
      </c>
      <c r="Q6" s="47">
        <v>35.472886699999997</v>
      </c>
      <c r="R6" s="47">
        <v>35.147626000000002</v>
      </c>
      <c r="S6" s="47">
        <v>49.422834600000002</v>
      </c>
      <c r="T6" s="47">
        <v>28.170070800000001</v>
      </c>
      <c r="U6" s="39">
        <v>1390.9375500000001</v>
      </c>
      <c r="V6" s="39">
        <v>13.364141500000001</v>
      </c>
      <c r="X6" s="36">
        <f t="shared" si="2"/>
        <v>6.9452775000000004</v>
      </c>
      <c r="Y6" s="37">
        <f t="shared" si="3"/>
        <v>0.61748973114264372</v>
      </c>
      <c r="Z6" s="46">
        <v>2415872</v>
      </c>
      <c r="AA6" s="38">
        <v>7408296</v>
      </c>
      <c r="AB6" s="47">
        <v>69.125408300000004</v>
      </c>
      <c r="AC6" s="47">
        <v>70.236529500000003</v>
      </c>
      <c r="AD6" s="47">
        <v>29.8238117</v>
      </c>
      <c r="AE6" s="47">
        <v>35.472886699999997</v>
      </c>
      <c r="AF6" s="47">
        <v>35.147626000000002</v>
      </c>
      <c r="AG6" s="47">
        <v>49.422834600000002</v>
      </c>
      <c r="AH6" s="47">
        <v>28.170070800000001</v>
      </c>
      <c r="AI6" s="39">
        <v>2037.8502120000001</v>
      </c>
      <c r="AJ6" s="39">
        <v>21.250122999999999</v>
      </c>
      <c r="AL6" s="77"/>
      <c r="AM6" s="77"/>
      <c r="AN6" s="77"/>
      <c r="AO6" s="77"/>
      <c r="AP6" s="77"/>
      <c r="AQ6" s="77"/>
      <c r="AR6" s="77"/>
    </row>
    <row r="7" spans="1:44" outlineLevel="1" x14ac:dyDescent="0.3">
      <c r="A7" s="17"/>
      <c r="B7" s="17" t="s">
        <v>40</v>
      </c>
      <c r="C7" s="19" t="s">
        <v>374</v>
      </c>
      <c r="D7" s="17">
        <v>11997440</v>
      </c>
      <c r="E7" s="18">
        <v>10</v>
      </c>
      <c r="F7" s="19">
        <v>32</v>
      </c>
      <c r="G7" s="19">
        <v>30</v>
      </c>
      <c r="H7" s="19">
        <v>11</v>
      </c>
      <c r="J7" s="20">
        <f t="shared" si="0"/>
        <v>9.9617625000000007</v>
      </c>
      <c r="K7" s="21">
        <f t="shared" si="1"/>
        <v>0.88567894484156617</v>
      </c>
      <c r="L7" s="44">
        <v>4871680</v>
      </c>
      <c r="M7" s="22">
        <v>10625880</v>
      </c>
      <c r="N7" s="45">
        <v>72.8955263</v>
      </c>
      <c r="O7" s="45">
        <v>74.5445122</v>
      </c>
      <c r="P7" s="45">
        <v>31.442256700000002</v>
      </c>
      <c r="Q7" s="45">
        <v>35.991161699999999</v>
      </c>
      <c r="R7" s="45">
        <v>35.728839899999997</v>
      </c>
      <c r="S7" s="45">
        <v>51.518318899999997</v>
      </c>
      <c r="T7" s="45">
        <v>30.025870600000001</v>
      </c>
      <c r="U7" s="23">
        <v>1455.0162700000001</v>
      </c>
      <c r="V7" s="23">
        <v>12.9350421</v>
      </c>
      <c r="X7" s="20">
        <f t="shared" si="2"/>
        <v>9.9649649999999994</v>
      </c>
      <c r="Y7" s="21">
        <f t="shared" si="3"/>
        <v>0.88596367225007999</v>
      </c>
      <c r="Z7" s="44">
        <v>4871680</v>
      </c>
      <c r="AA7" s="22">
        <v>10629296</v>
      </c>
      <c r="AB7" s="45">
        <v>72.8955263</v>
      </c>
      <c r="AC7" s="45">
        <v>74.5445122</v>
      </c>
      <c r="AD7" s="45">
        <v>31.442256700000002</v>
      </c>
      <c r="AE7" s="45">
        <v>35.991161699999999</v>
      </c>
      <c r="AF7" s="45">
        <v>35.728839899999997</v>
      </c>
      <c r="AG7" s="45">
        <v>51.518318899999997</v>
      </c>
      <c r="AH7" s="45">
        <v>30.025870600000001</v>
      </c>
      <c r="AI7" s="23">
        <v>2231.5320809999998</v>
      </c>
      <c r="AJ7" s="23">
        <v>23.790386000000002</v>
      </c>
      <c r="AL7" s="76"/>
      <c r="AM7" s="76"/>
      <c r="AN7" s="76"/>
      <c r="AO7" s="76"/>
      <c r="AP7" s="76"/>
      <c r="AQ7" s="76"/>
      <c r="AR7" s="76"/>
    </row>
    <row r="8" spans="1:44" outlineLevel="1" x14ac:dyDescent="0.3">
      <c r="A8" s="33"/>
      <c r="B8" s="33" t="s">
        <v>40</v>
      </c>
      <c r="C8" s="35" t="s">
        <v>375</v>
      </c>
      <c r="D8" s="33">
        <v>11997440</v>
      </c>
      <c r="E8" s="34">
        <v>10</v>
      </c>
      <c r="F8" s="35">
        <v>32</v>
      </c>
      <c r="G8" s="35">
        <v>30</v>
      </c>
      <c r="H8" s="35">
        <v>14</v>
      </c>
      <c r="J8" s="36">
        <f t="shared" si="0"/>
        <v>13.572825</v>
      </c>
      <c r="K8" s="37">
        <f t="shared" si="1"/>
        <v>1.2067307692307692</v>
      </c>
      <c r="L8" s="46">
        <v>4871680</v>
      </c>
      <c r="M8" s="38">
        <v>14477680</v>
      </c>
      <c r="N8" s="47">
        <v>73.886487399999993</v>
      </c>
      <c r="O8" s="47">
        <v>75.697550100000001</v>
      </c>
      <c r="P8" s="47">
        <v>32.852823700000002</v>
      </c>
      <c r="Q8" s="47">
        <v>36.941897099999998</v>
      </c>
      <c r="R8" s="47">
        <v>36.699306300000003</v>
      </c>
      <c r="S8" s="47">
        <v>51.997675000000001</v>
      </c>
      <c r="T8" s="47">
        <v>31.156533</v>
      </c>
      <c r="U8" s="39">
        <v>1511.19937</v>
      </c>
      <c r="V8" s="39">
        <v>13.478054699999999</v>
      </c>
      <c r="X8" s="36">
        <f t="shared" si="2"/>
        <v>13.5759075</v>
      </c>
      <c r="Y8" s="37">
        <f t="shared" si="3"/>
        <v>1.2070048276965752</v>
      </c>
      <c r="Z8" s="46">
        <v>4871680</v>
      </c>
      <c r="AA8" s="38">
        <v>14480968</v>
      </c>
      <c r="AB8" s="47">
        <v>73.886487399999993</v>
      </c>
      <c r="AC8" s="47">
        <v>75.697550100000001</v>
      </c>
      <c r="AD8" s="47">
        <v>32.852823700000002</v>
      </c>
      <c r="AE8" s="47">
        <v>36.941897099999998</v>
      </c>
      <c r="AF8" s="47">
        <v>36.699306300000003</v>
      </c>
      <c r="AG8" s="47">
        <v>51.997675000000001</v>
      </c>
      <c r="AH8" s="47">
        <v>31.156533</v>
      </c>
      <c r="AI8" s="39">
        <v>2253.7165580000001</v>
      </c>
      <c r="AJ8" s="39">
        <v>22.128392000000002</v>
      </c>
      <c r="AL8" s="77"/>
      <c r="AM8" s="77"/>
      <c r="AN8" s="77"/>
      <c r="AO8" s="77"/>
      <c r="AP8" s="77"/>
      <c r="AQ8" s="77"/>
      <c r="AR8" s="77"/>
    </row>
    <row r="9" spans="1:44" ht="15.75" customHeight="1" outlineLevel="1" thickBot="1" x14ac:dyDescent="0.35">
      <c r="A9" s="17"/>
      <c r="B9" s="48" t="s">
        <v>40</v>
      </c>
      <c r="C9" s="49" t="s">
        <v>376</v>
      </c>
      <c r="D9" s="48">
        <v>11997440</v>
      </c>
      <c r="E9" s="50">
        <v>10</v>
      </c>
      <c r="F9" s="49">
        <v>32</v>
      </c>
      <c r="G9" s="49">
        <v>30</v>
      </c>
      <c r="H9" s="49">
        <v>21</v>
      </c>
      <c r="J9" s="51">
        <f t="shared" si="0"/>
        <v>22.804132500000001</v>
      </c>
      <c r="K9" s="52">
        <f t="shared" si="1"/>
        <v>2.0274665261922542</v>
      </c>
      <c r="L9" s="53">
        <v>1279248</v>
      </c>
      <c r="M9" s="54">
        <v>24324408</v>
      </c>
      <c r="N9" s="55">
        <v>999.99</v>
      </c>
      <c r="O9" s="55">
        <v>999.99</v>
      </c>
      <c r="P9" s="55">
        <v>33.473650399999997</v>
      </c>
      <c r="Q9" s="55">
        <v>37.333696799999998</v>
      </c>
      <c r="R9" s="55">
        <v>37.099611500000002</v>
      </c>
      <c r="S9" s="55">
        <v>999.99</v>
      </c>
      <c r="T9" s="55">
        <v>33.379334700000001</v>
      </c>
      <c r="U9" s="56">
        <v>1079.0037199999999</v>
      </c>
      <c r="V9" s="56">
        <v>14.386891800000001</v>
      </c>
      <c r="X9" s="51">
        <f t="shared" si="2"/>
        <v>22.806660000000001</v>
      </c>
      <c r="Y9" s="52">
        <f t="shared" si="3"/>
        <v>2.027691240798037</v>
      </c>
      <c r="Z9" s="53">
        <v>1279248</v>
      </c>
      <c r="AA9" s="54">
        <v>24327104</v>
      </c>
      <c r="AB9" s="55">
        <v>999.99</v>
      </c>
      <c r="AC9" s="55">
        <v>999.99</v>
      </c>
      <c r="AD9" s="55">
        <v>33.473650399999997</v>
      </c>
      <c r="AE9" s="55">
        <v>37.333696799999998</v>
      </c>
      <c r="AF9" s="55">
        <v>37.099611500000002</v>
      </c>
      <c r="AG9" s="55">
        <v>999.99</v>
      </c>
      <c r="AH9" s="55">
        <v>33.379334700000001</v>
      </c>
      <c r="AI9" s="56">
        <v>1472.143337</v>
      </c>
      <c r="AJ9" s="56">
        <v>21.911662</v>
      </c>
      <c r="AL9" s="78"/>
      <c r="AM9" s="78"/>
      <c r="AN9" s="78"/>
      <c r="AO9" s="78"/>
      <c r="AP9" s="78"/>
      <c r="AQ9" s="78"/>
      <c r="AR9" s="78"/>
    </row>
    <row r="10" spans="1:44" x14ac:dyDescent="0.3">
      <c r="A10" s="33"/>
      <c r="B10" s="33" t="s">
        <v>48</v>
      </c>
      <c r="C10" s="35" t="s">
        <v>372</v>
      </c>
      <c r="D10" s="33">
        <v>9000000</v>
      </c>
      <c r="E10" s="34">
        <v>10</v>
      </c>
      <c r="F10" s="35">
        <v>32</v>
      </c>
      <c r="G10" s="35">
        <v>30</v>
      </c>
      <c r="H10" s="35">
        <v>4</v>
      </c>
      <c r="J10" s="36">
        <f t="shared" si="0"/>
        <v>1.5349200000000001</v>
      </c>
      <c r="K10" s="37">
        <f t="shared" si="1"/>
        <v>0.18191644444444444</v>
      </c>
      <c r="L10" s="46">
        <v>2412544</v>
      </c>
      <c r="M10" s="38">
        <v>1637248</v>
      </c>
      <c r="N10" s="47">
        <v>64.236003100000005</v>
      </c>
      <c r="O10" s="47">
        <v>64.859363299999998</v>
      </c>
      <c r="P10" s="47">
        <v>33.883449900000002</v>
      </c>
      <c r="Q10" s="47">
        <v>45.610619300000003</v>
      </c>
      <c r="R10" s="47">
        <v>45.880946999999999</v>
      </c>
      <c r="S10" s="47">
        <v>43.973058600000002</v>
      </c>
      <c r="T10" s="47">
        <v>29.7400223</v>
      </c>
      <c r="U10" s="39">
        <v>2452.8077499999999</v>
      </c>
      <c r="V10" s="39">
        <v>10.1372556</v>
      </c>
      <c r="X10" s="36">
        <f t="shared" si="2"/>
        <v>1.5375675</v>
      </c>
      <c r="Y10" s="37">
        <f t="shared" si="3"/>
        <v>0.18223022222222221</v>
      </c>
      <c r="Z10" s="46">
        <v>2412544</v>
      </c>
      <c r="AA10" s="38">
        <v>1640072</v>
      </c>
      <c r="AB10" s="47">
        <v>64.236003100000005</v>
      </c>
      <c r="AC10" s="47">
        <v>64.859363299999998</v>
      </c>
      <c r="AD10" s="47">
        <v>33.883449900000002</v>
      </c>
      <c r="AE10" s="47">
        <v>45.610619300000003</v>
      </c>
      <c r="AF10" s="47">
        <v>45.880946999999999</v>
      </c>
      <c r="AG10" s="47">
        <v>43.973058600000002</v>
      </c>
      <c r="AH10" s="47">
        <v>29.7400223</v>
      </c>
      <c r="AI10" s="39">
        <v>3592.2545919999998</v>
      </c>
      <c r="AJ10" s="39">
        <v>15.082312</v>
      </c>
      <c r="AL10" s="77">
        <f t="array" ref="AL10">IF( OR(AND(ISBLANK(M10:M14)),AND(ISBLANK(AA10:AA14)), AND(ISBLANK(N10:N14)),AND(ISBLANK(AB10:AB14))), "·", bdRateExtend( M10:M14,N10:N14, AA10:AA14,AB10:AB14))</f>
        <v>1.2299570770584189E-3</v>
      </c>
      <c r="AM10" s="77">
        <f t="array" ref="AM10">IF( OR(AND(ISBLANK(M10:M14)),AND(ISBLANK(AA10:AA14)), AND(ISBLANK(O10:O14)),AND(ISBLANK(AC10:AC14))), "·", bdRateExtend( M10:M14,O10:O14, AA10:AA14,AC10:AC14))</f>
        <v>1.2311560502960006E-3</v>
      </c>
      <c r="AN10" s="77">
        <f t="array" ref="AN10">IF( OR(AND(ISBLANK(M10:M14)),AND(ISBLANK(AA10:AA14)), AND(ISBLANK(P10:P14)),AND(ISBLANK(AD10:AD14))), "·", bdRateExtend( M10:M14,P10:P14, AA10:AA14,AD10:AD14))</f>
        <v>7.4974593488841279E-4</v>
      </c>
      <c r="AO10" s="77">
        <f t="array" ref="AO10">IF( OR(AND(ISBLANK(M10:M14)),AND(ISBLANK(AA10:AA14)), AND(ISBLANK(Q10:Q14)),AND(ISBLANK(AE10:AE14))), "·", bdRateExtend( M10:M14,Q10:Q14, AA10:AA14,AE10:AE14))</f>
        <v>5.999152473845637E-4</v>
      </c>
      <c r="AP10" s="77">
        <f t="array" ref="AP10">IF( OR(AND(ISBLANK(M10:M14)),AND(ISBLANK(AA10:AA14)), AND(ISBLANK(R10:R14)),AND(ISBLANK(AF10:AF14))), "·", bdRateExtend( M10:M14,R10:R14, AA10:AA14,AF10:AF14))</f>
        <v>6.2916310214444771E-4</v>
      </c>
      <c r="AQ10" s="77">
        <f t="array" ref="AQ10">IF( OR(AND(ISBLANK(M10:M14)),AND(ISBLANK(AA10:AA14)), AND(ISBLANK(S10:S14)),AND(ISBLANK(AG10:AG14))), "·", bdRateExtend( M10:M14,S10:S14, AA10:AA14,AG10:AG14))</f>
        <v>1.2332135925996468E-3</v>
      </c>
      <c r="AR10" s="77">
        <f t="array" ref="AR10">IF( OR(AND(ISBLANK(M10:M14)),AND(ISBLANK(AA10:AA14)), AND(ISBLANK(T10:T14)),AND(ISBLANK(AH10:AH14))), "·", bdRateExtend( M10:M14,T10:T14, AA10:AA14,AH10:AH14))</f>
        <v>9.5189008916429785E-4</v>
      </c>
    </row>
    <row r="11" spans="1:44" outlineLevel="1" x14ac:dyDescent="0.3">
      <c r="A11" s="17"/>
      <c r="B11" s="17" t="s">
        <v>48</v>
      </c>
      <c r="C11" s="19" t="s">
        <v>373</v>
      </c>
      <c r="D11" s="17">
        <v>9000000</v>
      </c>
      <c r="E11" s="18">
        <v>10</v>
      </c>
      <c r="F11" s="19">
        <v>32</v>
      </c>
      <c r="G11" s="19">
        <v>30</v>
      </c>
      <c r="H11" s="19">
        <v>8</v>
      </c>
      <c r="J11" s="20">
        <f t="shared" si="0"/>
        <v>4.5295125000000001</v>
      </c>
      <c r="K11" s="21">
        <f t="shared" si="1"/>
        <v>0.53683111111111115</v>
      </c>
      <c r="L11" s="44">
        <v>4841856</v>
      </c>
      <c r="M11" s="22">
        <v>4831480</v>
      </c>
      <c r="N11" s="45">
        <v>70.733020699999997</v>
      </c>
      <c r="O11" s="45">
        <v>72.196621899999997</v>
      </c>
      <c r="P11" s="45">
        <v>35.735233200000003</v>
      </c>
      <c r="Q11" s="45">
        <v>46.0173743</v>
      </c>
      <c r="R11" s="45">
        <v>46.474853799999998</v>
      </c>
      <c r="S11" s="45">
        <v>47.651109900000002</v>
      </c>
      <c r="T11" s="45">
        <v>33.129966099999997</v>
      </c>
      <c r="U11" s="23">
        <v>2963.7105299999998</v>
      </c>
      <c r="V11" s="23">
        <v>10.905055000000001</v>
      </c>
      <c r="X11" s="20">
        <f t="shared" si="2"/>
        <v>4.5328875000000002</v>
      </c>
      <c r="Y11" s="21">
        <f t="shared" si="3"/>
        <v>0.5372311111111111</v>
      </c>
      <c r="Z11" s="44">
        <v>4841856</v>
      </c>
      <c r="AA11" s="22">
        <v>4835080</v>
      </c>
      <c r="AB11" s="45">
        <v>70.733020699999997</v>
      </c>
      <c r="AC11" s="45">
        <v>72.196621899999997</v>
      </c>
      <c r="AD11" s="45">
        <v>35.735233200000003</v>
      </c>
      <c r="AE11" s="45">
        <v>46.0173743</v>
      </c>
      <c r="AF11" s="45">
        <v>46.474853799999998</v>
      </c>
      <c r="AG11" s="45">
        <v>47.651109900000002</v>
      </c>
      <c r="AH11" s="45">
        <v>33.129966099999997</v>
      </c>
      <c r="AI11" s="23">
        <v>4247.2957580000002</v>
      </c>
      <c r="AJ11" s="23">
        <v>15.888049000000001</v>
      </c>
      <c r="AL11" s="76"/>
      <c r="AM11" s="76"/>
      <c r="AN11" s="76"/>
      <c r="AO11" s="76"/>
      <c r="AP11" s="76"/>
      <c r="AQ11" s="76"/>
      <c r="AR11" s="76"/>
    </row>
    <row r="12" spans="1:44" outlineLevel="1" x14ac:dyDescent="0.3">
      <c r="A12" s="33"/>
      <c r="B12" s="33" t="s">
        <v>48</v>
      </c>
      <c r="C12" s="35" t="s">
        <v>374</v>
      </c>
      <c r="D12" s="33">
        <v>9000000</v>
      </c>
      <c r="E12" s="34">
        <v>10</v>
      </c>
      <c r="F12" s="35">
        <v>32</v>
      </c>
      <c r="G12" s="35">
        <v>30</v>
      </c>
      <c r="H12" s="35">
        <v>11</v>
      </c>
      <c r="J12" s="36">
        <f t="shared" si="0"/>
        <v>6.3259650000000001</v>
      </c>
      <c r="K12" s="37">
        <f t="shared" si="1"/>
        <v>0.74974399999999997</v>
      </c>
      <c r="L12" s="46">
        <v>4841856</v>
      </c>
      <c r="M12" s="38">
        <v>6747696</v>
      </c>
      <c r="N12" s="47">
        <v>71.893481800000004</v>
      </c>
      <c r="O12" s="47">
        <v>73.507742899999997</v>
      </c>
      <c r="P12" s="47">
        <v>36.2935807</v>
      </c>
      <c r="Q12" s="47">
        <v>46.367927299999998</v>
      </c>
      <c r="R12" s="47">
        <v>46.9380764</v>
      </c>
      <c r="S12" s="47">
        <v>48.272742600000001</v>
      </c>
      <c r="T12" s="47">
        <v>33.879057600000003</v>
      </c>
      <c r="U12" s="39">
        <v>2941.0057400000001</v>
      </c>
      <c r="V12" s="39">
        <v>11.202570100000001</v>
      </c>
      <c r="X12" s="36">
        <f t="shared" si="2"/>
        <v>6.3300749999999999</v>
      </c>
      <c r="Y12" s="37">
        <f t="shared" si="3"/>
        <v>0.75023111111111107</v>
      </c>
      <c r="Z12" s="46">
        <v>4841856</v>
      </c>
      <c r="AA12" s="38">
        <v>6752080</v>
      </c>
      <c r="AB12" s="47">
        <v>71.893481800000004</v>
      </c>
      <c r="AC12" s="47">
        <v>73.507742899999997</v>
      </c>
      <c r="AD12" s="47">
        <v>36.2935807</v>
      </c>
      <c r="AE12" s="47">
        <v>46.367927299999998</v>
      </c>
      <c r="AF12" s="47">
        <v>46.9380764</v>
      </c>
      <c r="AG12" s="47">
        <v>48.272742600000001</v>
      </c>
      <c r="AH12" s="47">
        <v>33.879057600000003</v>
      </c>
      <c r="AI12" s="39">
        <v>4354.7528199999997</v>
      </c>
      <c r="AJ12" s="39">
        <v>15.348253</v>
      </c>
      <c r="AL12" s="77"/>
      <c r="AM12" s="77"/>
      <c r="AN12" s="77"/>
      <c r="AO12" s="77"/>
      <c r="AP12" s="77"/>
      <c r="AQ12" s="77"/>
      <c r="AR12" s="77"/>
    </row>
    <row r="13" spans="1:44" outlineLevel="1" x14ac:dyDescent="0.3">
      <c r="A13" s="17"/>
      <c r="B13" s="17" t="s">
        <v>48</v>
      </c>
      <c r="C13" s="19" t="s">
        <v>375</v>
      </c>
      <c r="D13" s="17">
        <v>9000000</v>
      </c>
      <c r="E13" s="18">
        <v>10</v>
      </c>
      <c r="F13" s="19">
        <v>32</v>
      </c>
      <c r="G13" s="19">
        <v>30</v>
      </c>
      <c r="H13" s="19">
        <v>14</v>
      </c>
      <c r="J13" s="20">
        <f t="shared" si="0"/>
        <v>8.6031525000000002</v>
      </c>
      <c r="K13" s="21">
        <f t="shared" si="1"/>
        <v>1.0196328888888888</v>
      </c>
      <c r="L13" s="44">
        <v>4841856</v>
      </c>
      <c r="M13" s="22">
        <v>9176696</v>
      </c>
      <c r="N13" s="45">
        <v>71.893481800000004</v>
      </c>
      <c r="O13" s="45">
        <v>73.507742899999997</v>
      </c>
      <c r="P13" s="45">
        <v>37.576422299999997</v>
      </c>
      <c r="Q13" s="45">
        <v>47.415949099999999</v>
      </c>
      <c r="R13" s="45">
        <v>48.010912500000003</v>
      </c>
      <c r="S13" s="45">
        <v>48.272742600000001</v>
      </c>
      <c r="T13" s="45">
        <v>34.488031399999997</v>
      </c>
      <c r="U13" s="23">
        <v>3094.5641599999999</v>
      </c>
      <c r="V13" s="23">
        <v>11.893478099999999</v>
      </c>
      <c r="X13" s="20">
        <f t="shared" si="2"/>
        <v>8.6072624999999992</v>
      </c>
      <c r="Y13" s="21">
        <f t="shared" si="3"/>
        <v>1.0201199999999999</v>
      </c>
      <c r="Z13" s="44">
        <v>4841856</v>
      </c>
      <c r="AA13" s="22">
        <v>9181080</v>
      </c>
      <c r="AB13" s="45">
        <v>71.893481800000004</v>
      </c>
      <c r="AC13" s="45">
        <v>73.507742899999997</v>
      </c>
      <c r="AD13" s="45">
        <v>37.576422299999997</v>
      </c>
      <c r="AE13" s="45">
        <v>47.415949099999999</v>
      </c>
      <c r="AF13" s="45">
        <v>48.010912500000003</v>
      </c>
      <c r="AG13" s="45">
        <v>48.272742600000001</v>
      </c>
      <c r="AH13" s="45">
        <v>34.488031399999997</v>
      </c>
      <c r="AI13" s="23">
        <v>4483.302068</v>
      </c>
      <c r="AJ13" s="23">
        <v>16.262432</v>
      </c>
      <c r="AL13" s="76"/>
      <c r="AM13" s="76"/>
      <c r="AN13" s="76"/>
      <c r="AO13" s="76"/>
      <c r="AP13" s="76"/>
      <c r="AQ13" s="76"/>
      <c r="AR13" s="76"/>
    </row>
    <row r="14" spans="1:44" ht="15.75" customHeight="1" outlineLevel="1" thickBot="1" x14ac:dyDescent="0.35">
      <c r="A14" s="25"/>
      <c r="B14" s="25" t="s">
        <v>48</v>
      </c>
      <c r="C14" s="27" t="s">
        <v>376</v>
      </c>
      <c r="D14" s="25">
        <v>9000000</v>
      </c>
      <c r="E14" s="26">
        <v>10</v>
      </c>
      <c r="F14" s="27">
        <v>32</v>
      </c>
      <c r="G14" s="27">
        <v>30</v>
      </c>
      <c r="H14" s="27">
        <v>21</v>
      </c>
      <c r="J14" s="28">
        <f t="shared" si="0"/>
        <v>14.598240000000001</v>
      </c>
      <c r="K14" s="29">
        <f t="shared" si="1"/>
        <v>1.7301617777777778</v>
      </c>
      <c r="L14" s="57">
        <v>4841856</v>
      </c>
      <c r="M14" s="30">
        <v>15571456</v>
      </c>
      <c r="N14" s="58">
        <v>72.073928100000003</v>
      </c>
      <c r="O14" s="58">
        <v>73.696620499999995</v>
      </c>
      <c r="P14" s="58">
        <v>38.9396828</v>
      </c>
      <c r="Q14" s="58">
        <v>48.420580399999999</v>
      </c>
      <c r="R14" s="58">
        <v>49.0984008</v>
      </c>
      <c r="S14" s="58">
        <v>48.399188299999999</v>
      </c>
      <c r="T14" s="58">
        <v>35.107377200000002</v>
      </c>
      <c r="U14" s="31">
        <v>3442.5395899999999</v>
      </c>
      <c r="V14" s="31">
        <v>12.681394900000001</v>
      </c>
      <c r="X14" s="28">
        <f t="shared" si="2"/>
        <v>14.6028825</v>
      </c>
      <c r="Y14" s="29">
        <f t="shared" si="3"/>
        <v>1.730712</v>
      </c>
      <c r="Z14" s="57">
        <v>4841856</v>
      </c>
      <c r="AA14" s="30">
        <v>15576408</v>
      </c>
      <c r="AB14" s="58">
        <v>72.073928100000003</v>
      </c>
      <c r="AC14" s="58">
        <v>73.696620499999995</v>
      </c>
      <c r="AD14" s="58">
        <v>38.9396828</v>
      </c>
      <c r="AE14" s="58">
        <v>48.420580399999999</v>
      </c>
      <c r="AF14" s="58">
        <v>49.0984008</v>
      </c>
      <c r="AG14" s="58">
        <v>48.399188299999999</v>
      </c>
      <c r="AH14" s="58">
        <v>35.107377200000002</v>
      </c>
      <c r="AI14" s="31">
        <v>4813.0137889999996</v>
      </c>
      <c r="AJ14" s="31">
        <v>17.014395</v>
      </c>
      <c r="AL14" s="79"/>
      <c r="AM14" s="79"/>
      <c r="AN14" s="79"/>
      <c r="AO14" s="79"/>
      <c r="AP14" s="79"/>
      <c r="AQ14" s="79"/>
      <c r="AR14" s="79"/>
    </row>
    <row r="15" spans="1:44" x14ac:dyDescent="0.3">
      <c r="A15" s="17" t="s">
        <v>176</v>
      </c>
      <c r="B15" s="17" t="s">
        <v>53</v>
      </c>
      <c r="C15" s="19" t="s">
        <v>372</v>
      </c>
      <c r="D15" s="17">
        <v>11842002</v>
      </c>
      <c r="E15" s="18">
        <v>12</v>
      </c>
      <c r="F15" s="19">
        <v>32</v>
      </c>
      <c r="G15" s="19">
        <v>30</v>
      </c>
      <c r="H15" s="19">
        <v>3</v>
      </c>
      <c r="J15" s="20">
        <f t="shared" si="0"/>
        <v>3.9766949999999999</v>
      </c>
      <c r="K15" s="21">
        <f t="shared" si="1"/>
        <v>0.35820024350612339</v>
      </c>
      <c r="L15" s="44">
        <v>2419456</v>
      </c>
      <c r="M15" s="22">
        <v>4241808</v>
      </c>
      <c r="N15" s="45">
        <v>71.577144700000005</v>
      </c>
      <c r="O15" s="45">
        <v>72.834174599999997</v>
      </c>
      <c r="P15" s="45">
        <v>36.932392700000001</v>
      </c>
      <c r="Q15" s="45">
        <v>43.595014999999997</v>
      </c>
      <c r="R15" s="45">
        <v>45.356196300000001</v>
      </c>
      <c r="S15" s="45">
        <v>45.535561299999998</v>
      </c>
      <c r="T15" s="45">
        <v>32.868556300000002</v>
      </c>
      <c r="U15" s="23">
        <v>1373.31459</v>
      </c>
      <c r="V15" s="23">
        <v>12.9793976</v>
      </c>
      <c r="X15" s="20">
        <f t="shared" si="2"/>
        <v>3.9796575000000001</v>
      </c>
      <c r="Y15" s="21">
        <f t="shared" si="3"/>
        <v>0.35846709027747164</v>
      </c>
      <c r="Z15" s="44">
        <v>2419456</v>
      </c>
      <c r="AA15" s="22">
        <v>4244968</v>
      </c>
      <c r="AB15" s="45">
        <v>71.577144700000005</v>
      </c>
      <c r="AC15" s="45">
        <v>72.834174599999997</v>
      </c>
      <c r="AD15" s="45">
        <v>36.932392700000001</v>
      </c>
      <c r="AE15" s="45">
        <v>43.595014999999997</v>
      </c>
      <c r="AF15" s="45">
        <v>45.356196300000001</v>
      </c>
      <c r="AG15" s="45">
        <v>45.535561299999998</v>
      </c>
      <c r="AH15" s="45">
        <v>32.868556300000002</v>
      </c>
      <c r="AI15" s="23">
        <v>2059.5393570000001</v>
      </c>
      <c r="AJ15" s="23">
        <v>19.032962999999999</v>
      </c>
      <c r="AL15" s="76">
        <f t="array" ref="AL15">IF( OR(AND(ISBLANK(M15:M19)),AND(ISBLANK(AA15:AA19)), AND(ISBLANK(N15:N19)),AND(ISBLANK(AB15:AB19))), "·", bdRateExtend( M15:M19,N15:N19, AA15:AA19,AB15:AB19))</f>
        <v>1.2647622478656473E-4</v>
      </c>
      <c r="AM15" s="76">
        <f t="array" ref="AM15">IF( OR(AND(ISBLANK(M15:M19)),AND(ISBLANK(AA15:AA19)), AND(ISBLANK(O15:O19)),AND(ISBLANK(AC15:AC19))), "·", bdRateExtend( M15:M19,O15:O19, AA15:AA19,AC15:AC19))</f>
        <v>1.2684563342291177E-4</v>
      </c>
      <c r="AN15" s="76">
        <f t="array" ref="AN15">IF( OR(AND(ISBLANK(M15:M19)),AND(ISBLANK(AA15:AA19)), AND(ISBLANK(P15:P19)),AND(ISBLANK(AD15:AD19))), "·", bdRateExtend( M15:M19,P15:P19, AA15:AA19,AD15:AD19))</f>
        <v>4.921015993459843E-4</v>
      </c>
      <c r="AO15" s="76">
        <f t="array" ref="AO15">IF( OR(AND(ISBLANK(M15:M19)),AND(ISBLANK(AA15:AA19)), AND(ISBLANK(Q15:Q19)),AND(ISBLANK(AE15:AE19))), "·", bdRateExtend( M15:M19,Q15:Q19, AA15:AA19,AE15:AE19))</f>
        <v>4.5555433452393324E-4</v>
      </c>
      <c r="AP15" s="76">
        <f t="array" ref="AP15">IF( OR(AND(ISBLANK(M15:M19)),AND(ISBLANK(AA15:AA19)), AND(ISBLANK(R15:R19)),AND(ISBLANK(AF15:AF19))), "·", bdRateExtend( M15:M19,R15:R19, AA15:AA19,AF15:AF19))</f>
        <v>4.5965462181873917E-4</v>
      </c>
      <c r="AQ15" s="76">
        <f t="array" ref="AQ15">IF( OR(AND(ISBLANK(M15:M19)),AND(ISBLANK(AA15:AA19)), AND(ISBLANK(S15:S19)),AND(ISBLANK(AG15:AG19))), "·", bdRateExtend( M15:M19,S15:S19, AA15:AA19,AG15:AG19))</f>
        <v>1.2519750300499233E-4</v>
      </c>
      <c r="AR15" s="76">
        <f t="array" ref="AR15">IF( OR(AND(ISBLANK(M15:M19)),AND(ISBLANK(AA15:AA19)), AND(ISBLANK(T15:T19)),AND(ISBLANK(AH15:AH19))), "·", bdRateExtend( M15:M19,T15:T19, AA15:AA19,AH15:AH19))</f>
        <v>3.3447705670353045E-4</v>
      </c>
    </row>
    <row r="16" spans="1:44" outlineLevel="1" x14ac:dyDescent="0.3">
      <c r="A16" s="33"/>
      <c r="B16" s="33" t="s">
        <v>53</v>
      </c>
      <c r="C16" s="35" t="s">
        <v>373</v>
      </c>
      <c r="D16" s="33">
        <v>11842002</v>
      </c>
      <c r="E16" s="34">
        <v>12</v>
      </c>
      <c r="F16" s="35">
        <v>32</v>
      </c>
      <c r="G16" s="35">
        <v>30</v>
      </c>
      <c r="H16" s="35">
        <v>5</v>
      </c>
      <c r="J16" s="36">
        <f t="shared" si="0"/>
        <v>6.8418975</v>
      </c>
      <c r="K16" s="37">
        <f t="shared" si="1"/>
        <v>0.61628295620960039</v>
      </c>
      <c r="L16" s="46">
        <v>4841472</v>
      </c>
      <c r="M16" s="38">
        <v>7298024</v>
      </c>
      <c r="N16" s="47">
        <v>75.305827199999996</v>
      </c>
      <c r="O16" s="47">
        <v>77.002595600000006</v>
      </c>
      <c r="P16" s="47">
        <v>39.448719099999998</v>
      </c>
      <c r="Q16" s="47">
        <v>44.300480999999998</v>
      </c>
      <c r="R16" s="47">
        <v>46.7546252</v>
      </c>
      <c r="S16" s="47">
        <v>47.5536326</v>
      </c>
      <c r="T16" s="47">
        <v>35.488819599999999</v>
      </c>
      <c r="U16" s="39">
        <v>1503.94868</v>
      </c>
      <c r="V16" s="39">
        <v>14.570784099999999</v>
      </c>
      <c r="X16" s="36">
        <f t="shared" si="2"/>
        <v>6.8450249999999997</v>
      </c>
      <c r="Y16" s="37">
        <f t="shared" si="3"/>
        <v>0.61656466533277055</v>
      </c>
      <c r="Z16" s="46">
        <v>4841472</v>
      </c>
      <c r="AA16" s="38">
        <v>7301360</v>
      </c>
      <c r="AB16" s="47">
        <v>75.305827199999996</v>
      </c>
      <c r="AC16" s="47">
        <v>77.002595600000006</v>
      </c>
      <c r="AD16" s="47">
        <v>39.448719099999998</v>
      </c>
      <c r="AE16" s="47">
        <v>44.300480999999998</v>
      </c>
      <c r="AF16" s="47">
        <v>46.7546252</v>
      </c>
      <c r="AG16" s="47">
        <v>47.5536326</v>
      </c>
      <c r="AH16" s="47">
        <v>35.488819599999999</v>
      </c>
      <c r="AI16" s="39">
        <v>2076.8954570000001</v>
      </c>
      <c r="AJ16" s="39">
        <v>21.959614999999999</v>
      </c>
      <c r="AL16" s="77"/>
      <c r="AM16" s="77"/>
      <c r="AN16" s="77"/>
      <c r="AO16" s="77"/>
      <c r="AP16" s="77"/>
      <c r="AQ16" s="77"/>
      <c r="AR16" s="77"/>
    </row>
    <row r="17" spans="1:44" outlineLevel="1" x14ac:dyDescent="0.3">
      <c r="A17" s="17"/>
      <c r="B17" s="17" t="s">
        <v>53</v>
      </c>
      <c r="C17" s="19" t="s">
        <v>374</v>
      </c>
      <c r="D17" s="17">
        <v>11842002</v>
      </c>
      <c r="E17" s="18">
        <v>12</v>
      </c>
      <c r="F17" s="19">
        <v>32</v>
      </c>
      <c r="G17" s="19">
        <v>30</v>
      </c>
      <c r="H17" s="19">
        <v>10</v>
      </c>
      <c r="J17" s="20">
        <f t="shared" si="0"/>
        <v>10.8749775</v>
      </c>
      <c r="K17" s="21">
        <f t="shared" si="1"/>
        <v>0.97956207067014511</v>
      </c>
      <c r="L17" s="44">
        <v>4841472</v>
      </c>
      <c r="M17" s="22">
        <v>11599976</v>
      </c>
      <c r="N17" s="45">
        <v>76.645069199999995</v>
      </c>
      <c r="O17" s="45">
        <v>78.549478300000004</v>
      </c>
      <c r="P17" s="45">
        <v>41.222541900000003</v>
      </c>
      <c r="Q17" s="45">
        <v>45.180468400000002</v>
      </c>
      <c r="R17" s="45">
        <v>48.413318099999998</v>
      </c>
      <c r="S17" s="45">
        <v>48.182346699999997</v>
      </c>
      <c r="T17" s="45">
        <v>36.641098100000001</v>
      </c>
      <c r="U17" s="23">
        <v>1517.6405999999999</v>
      </c>
      <c r="V17" s="23">
        <v>14.5196036</v>
      </c>
      <c r="X17" s="20">
        <f t="shared" si="2"/>
        <v>10.87806</v>
      </c>
      <c r="Y17" s="21">
        <f t="shared" si="3"/>
        <v>0.97983972642463668</v>
      </c>
      <c r="Z17" s="44">
        <v>4841472</v>
      </c>
      <c r="AA17" s="22">
        <v>11603264</v>
      </c>
      <c r="AB17" s="45">
        <v>76.645069199999995</v>
      </c>
      <c r="AC17" s="45">
        <v>78.549478300000004</v>
      </c>
      <c r="AD17" s="45">
        <v>41.222541900000003</v>
      </c>
      <c r="AE17" s="45">
        <v>45.180468400000002</v>
      </c>
      <c r="AF17" s="45">
        <v>48.413318099999998</v>
      </c>
      <c r="AG17" s="45">
        <v>48.182346699999997</v>
      </c>
      <c r="AH17" s="45">
        <v>36.641098100000001</v>
      </c>
      <c r="AI17" s="23">
        <v>2107.439194</v>
      </c>
      <c r="AJ17" s="23">
        <v>22.428353999999999</v>
      </c>
      <c r="AL17" s="76"/>
      <c r="AM17" s="76"/>
      <c r="AN17" s="76"/>
      <c r="AO17" s="76"/>
      <c r="AP17" s="76"/>
      <c r="AQ17" s="76"/>
      <c r="AR17" s="76"/>
    </row>
    <row r="18" spans="1:44" outlineLevel="1" x14ac:dyDescent="0.3">
      <c r="A18" s="33"/>
      <c r="B18" s="33" t="s">
        <v>53</v>
      </c>
      <c r="C18" s="35" t="s">
        <v>375</v>
      </c>
      <c r="D18" s="33">
        <v>11842002</v>
      </c>
      <c r="E18" s="34">
        <v>12</v>
      </c>
      <c r="F18" s="35">
        <v>32</v>
      </c>
      <c r="G18" s="35">
        <v>30</v>
      </c>
      <c r="H18" s="35">
        <v>14</v>
      </c>
      <c r="J18" s="36">
        <f t="shared" si="0"/>
        <v>16.097887499999999</v>
      </c>
      <c r="K18" s="37">
        <f t="shared" si="1"/>
        <v>1.4500149552415209</v>
      </c>
      <c r="L18" s="46">
        <v>605377</v>
      </c>
      <c r="M18" s="38">
        <v>17171080</v>
      </c>
      <c r="N18" s="47">
        <v>83.638361700000004</v>
      </c>
      <c r="O18" s="47">
        <v>87.131125900000001</v>
      </c>
      <c r="P18" s="47">
        <v>41.595456900000002</v>
      </c>
      <c r="Q18" s="47">
        <v>45.231833299999998</v>
      </c>
      <c r="R18" s="47">
        <v>48.495775799999997</v>
      </c>
      <c r="S18" s="47">
        <v>54.069744</v>
      </c>
      <c r="T18" s="47">
        <v>39.906863299999998</v>
      </c>
      <c r="U18" s="39">
        <v>2347.13393</v>
      </c>
      <c r="V18" s="39">
        <v>13.0847225</v>
      </c>
      <c r="X18" s="36">
        <f t="shared" si="2"/>
        <v>16.100415000000002</v>
      </c>
      <c r="Y18" s="37">
        <f t="shared" si="3"/>
        <v>1.450242619448975</v>
      </c>
      <c r="Z18" s="46">
        <v>605377</v>
      </c>
      <c r="AA18" s="38">
        <v>17173776</v>
      </c>
      <c r="AB18" s="47">
        <v>83.638361700000004</v>
      </c>
      <c r="AC18" s="47">
        <v>87.131125900000001</v>
      </c>
      <c r="AD18" s="47">
        <v>41.595456900000002</v>
      </c>
      <c r="AE18" s="47">
        <v>45.231833299999998</v>
      </c>
      <c r="AF18" s="47">
        <v>48.495775799999997</v>
      </c>
      <c r="AG18" s="47">
        <v>54.069744</v>
      </c>
      <c r="AH18" s="47">
        <v>39.906863299999998</v>
      </c>
      <c r="AI18" s="39">
        <v>3420.5666120000001</v>
      </c>
      <c r="AJ18" s="39">
        <v>17.812826999999999</v>
      </c>
      <c r="AL18" s="77"/>
      <c r="AM18" s="77"/>
      <c r="AN18" s="77"/>
      <c r="AO18" s="77"/>
      <c r="AP18" s="77"/>
      <c r="AQ18" s="77"/>
      <c r="AR18" s="77"/>
    </row>
    <row r="19" spans="1:44" ht="15.75" customHeight="1" outlineLevel="1" thickBot="1" x14ac:dyDescent="0.35">
      <c r="A19" s="17"/>
      <c r="B19" s="48" t="s">
        <v>53</v>
      </c>
      <c r="C19" s="49" t="s">
        <v>376</v>
      </c>
      <c r="D19" s="48">
        <v>11842002</v>
      </c>
      <c r="E19" s="50">
        <v>12</v>
      </c>
      <c r="F19" s="49">
        <v>32</v>
      </c>
      <c r="G19" s="49">
        <v>30</v>
      </c>
      <c r="H19" s="49">
        <v>21</v>
      </c>
      <c r="J19" s="51">
        <f t="shared" si="0"/>
        <v>22.501560000000001</v>
      </c>
      <c r="K19" s="52">
        <f t="shared" si="1"/>
        <v>2.0268248561349678</v>
      </c>
      <c r="L19" s="53">
        <v>1261248</v>
      </c>
      <c r="M19" s="54">
        <v>24001664</v>
      </c>
      <c r="N19" s="55">
        <v>999.99</v>
      </c>
      <c r="O19" s="55">
        <v>999.99</v>
      </c>
      <c r="P19" s="55">
        <v>41.545656999999999</v>
      </c>
      <c r="Q19" s="55">
        <v>45.126942900000003</v>
      </c>
      <c r="R19" s="55">
        <v>48.327106200000003</v>
      </c>
      <c r="S19" s="55">
        <v>999.99</v>
      </c>
      <c r="T19" s="55">
        <v>41.688693000000001</v>
      </c>
      <c r="U19" s="56">
        <v>1193.2464</v>
      </c>
      <c r="V19" s="56">
        <v>14.5432446</v>
      </c>
      <c r="X19" s="51">
        <f t="shared" si="2"/>
        <v>22.504087500000001</v>
      </c>
      <c r="Y19" s="52">
        <f t="shared" si="3"/>
        <v>2.0270525203424219</v>
      </c>
      <c r="Z19" s="53">
        <v>1261248</v>
      </c>
      <c r="AA19" s="54">
        <v>24004360</v>
      </c>
      <c r="AB19" s="55">
        <v>999.99</v>
      </c>
      <c r="AC19" s="55">
        <v>999.99</v>
      </c>
      <c r="AD19" s="55">
        <v>41.545656999999999</v>
      </c>
      <c r="AE19" s="55">
        <v>45.126942900000003</v>
      </c>
      <c r="AF19" s="55">
        <v>48.327106200000003</v>
      </c>
      <c r="AG19" s="55">
        <v>999.99</v>
      </c>
      <c r="AH19" s="55">
        <v>41.688693000000001</v>
      </c>
      <c r="AI19" s="56">
        <v>1815.3787339999999</v>
      </c>
      <c r="AJ19" s="56">
        <v>24.381115999999999</v>
      </c>
      <c r="AL19" s="78"/>
      <c r="AM19" s="78"/>
      <c r="AN19" s="78"/>
      <c r="AO19" s="78"/>
      <c r="AP19" s="78"/>
      <c r="AQ19" s="78"/>
      <c r="AR19" s="78"/>
    </row>
    <row r="20" spans="1:44" x14ac:dyDescent="0.3">
      <c r="A20" s="33"/>
      <c r="B20" s="33" t="s">
        <v>58</v>
      </c>
      <c r="C20" s="35" t="s">
        <v>372</v>
      </c>
      <c r="D20" s="33">
        <v>11812090</v>
      </c>
      <c r="E20" s="34">
        <v>12</v>
      </c>
      <c r="F20" s="35">
        <v>32</v>
      </c>
      <c r="G20" s="35">
        <v>30</v>
      </c>
      <c r="H20" s="35">
        <v>3</v>
      </c>
      <c r="J20" s="36">
        <f t="shared" si="0"/>
        <v>2.9927774999999999</v>
      </c>
      <c r="K20" s="37">
        <f t="shared" si="1"/>
        <v>0.27025666076028881</v>
      </c>
      <c r="L20" s="46">
        <v>2417984</v>
      </c>
      <c r="M20" s="38">
        <v>3192296</v>
      </c>
      <c r="N20" s="47">
        <v>70.218157300000001</v>
      </c>
      <c r="O20" s="47">
        <v>71.385570299999998</v>
      </c>
      <c r="P20" s="47">
        <v>33.979962999999998</v>
      </c>
      <c r="Q20" s="47">
        <v>43.326638299999999</v>
      </c>
      <c r="R20" s="47">
        <v>44.666333700000003</v>
      </c>
      <c r="S20" s="47">
        <v>47.760446299999998</v>
      </c>
      <c r="T20" s="47">
        <v>30.752741499999999</v>
      </c>
      <c r="U20" s="39">
        <v>1263.37346</v>
      </c>
      <c r="V20" s="39">
        <v>12.631532699999999</v>
      </c>
      <c r="X20" s="36">
        <f t="shared" si="2"/>
        <v>2.99586</v>
      </c>
      <c r="Y20" s="37">
        <f t="shared" si="3"/>
        <v>0.27053501962819448</v>
      </c>
      <c r="Z20" s="46">
        <v>2417984</v>
      </c>
      <c r="AA20" s="38">
        <v>3195584</v>
      </c>
      <c r="AB20" s="47">
        <v>70.218157300000001</v>
      </c>
      <c r="AC20" s="47">
        <v>71.385570299999998</v>
      </c>
      <c r="AD20" s="47">
        <v>33.979962999999998</v>
      </c>
      <c r="AE20" s="47">
        <v>43.326638299999999</v>
      </c>
      <c r="AF20" s="47">
        <v>44.666333700000003</v>
      </c>
      <c r="AG20" s="47">
        <v>47.760446299999998</v>
      </c>
      <c r="AH20" s="47">
        <v>30.752741499999999</v>
      </c>
      <c r="AI20" s="39">
        <v>1810.259012</v>
      </c>
      <c r="AJ20" s="39">
        <v>20.600939</v>
      </c>
      <c r="AL20" s="77">
        <f t="array" ref="AL20">IF( OR(AND(ISBLANK(M20:M24)),AND(ISBLANK(AA20:AA24)), AND(ISBLANK(N20:N24)),AND(ISBLANK(AB20:AB24))), "·", bdRateExtend( M20:M24,N20:N24, AA20:AA24,AB20:AB24))</f>
        <v>1.48631837589841E-4</v>
      </c>
      <c r="AM20" s="77">
        <f t="array" ref="AM20">IF( OR(AND(ISBLANK(M20:M24)),AND(ISBLANK(AA20:AA24)), AND(ISBLANK(O20:O24)),AND(ISBLANK(AC20:AC24))), "·", bdRateExtend( M20:M24,O20:O24, AA20:AA24,AC20:AC24))</f>
        <v>1.4901594364458148E-4</v>
      </c>
      <c r="AN20" s="77">
        <f t="array" ref="AN20">IF( OR(AND(ISBLANK(M20:M24)),AND(ISBLANK(AA20:AA24)), AND(ISBLANK(P20:P24)),AND(ISBLANK(AD20:AD24))), "·", bdRateExtend( M20:M24,P20:P24, AA20:AA24,AD20:AD24))</f>
        <v>5.8385869767052512E-4</v>
      </c>
      <c r="AO20" s="77">
        <f t="array" ref="AO20">IF( OR(AND(ISBLANK(M20:M24)),AND(ISBLANK(AA20:AA24)), AND(ISBLANK(Q20:Q24)),AND(ISBLANK(AE20:AE24))), "·", bdRateExtend( M20:M24,Q20:Q24, AA20:AA24,AE20:AE24))</f>
        <v>5.2159851259392376E-4</v>
      </c>
      <c r="AP20" s="77">
        <f t="array" ref="AP20">IF( OR(AND(ISBLANK(M20:M24)),AND(ISBLANK(AA20:AA24)), AND(ISBLANK(R20:R24)),AND(ISBLANK(AF20:AF24))), "·", bdRateExtend( M20:M24,R20:R24, AA20:AA24,AF20:AF24))</f>
        <v>5.3274625852295365E-4</v>
      </c>
      <c r="AQ20" s="77">
        <f t="array" ref="AQ20">IF( OR(AND(ISBLANK(M20:M24)),AND(ISBLANK(AA20:AA24)), AND(ISBLANK(S20:S24)),AND(ISBLANK(AG20:AG24))), "·", bdRateExtend( M20:M24,S20:S24, AA20:AA24,AG20:AG24))</f>
        <v>1.4723322536203121E-4</v>
      </c>
      <c r="AR20" s="77">
        <f t="array" ref="AR20">IF( OR(AND(ISBLANK(M20:M24)),AND(ISBLANK(AA20:AA24)), AND(ISBLANK(T20:T24)),AND(ISBLANK(AH20:AH24))), "·", bdRateExtend( M20:M24,T20:T24, AA20:AA24,AH20:AH24))</f>
        <v>3.683397324636406E-4</v>
      </c>
    </row>
    <row r="21" spans="1:44" outlineLevel="1" x14ac:dyDescent="0.3">
      <c r="A21" s="17"/>
      <c r="B21" s="17" t="s">
        <v>58</v>
      </c>
      <c r="C21" s="19" t="s">
        <v>373</v>
      </c>
      <c r="D21" s="17">
        <v>11812090</v>
      </c>
      <c r="E21" s="18">
        <v>12</v>
      </c>
      <c r="F21" s="19">
        <v>32</v>
      </c>
      <c r="G21" s="19">
        <v>30</v>
      </c>
      <c r="H21" s="19">
        <v>5</v>
      </c>
      <c r="J21" s="20">
        <f t="shared" si="0"/>
        <v>4.4806425000000001</v>
      </c>
      <c r="K21" s="21">
        <f t="shared" si="1"/>
        <v>0.40461527130253833</v>
      </c>
      <c r="L21" s="44">
        <v>2417984</v>
      </c>
      <c r="M21" s="22">
        <v>4779352</v>
      </c>
      <c r="N21" s="45">
        <v>71.586763000000005</v>
      </c>
      <c r="O21" s="45">
        <v>72.899730599999998</v>
      </c>
      <c r="P21" s="45">
        <v>36.455519600000002</v>
      </c>
      <c r="Q21" s="45">
        <v>43.7766357</v>
      </c>
      <c r="R21" s="45">
        <v>45.554348500000003</v>
      </c>
      <c r="S21" s="45">
        <v>48.474926199999999</v>
      </c>
      <c r="T21" s="45">
        <v>32.1722313</v>
      </c>
      <c r="U21" s="23">
        <v>1314.11194</v>
      </c>
      <c r="V21" s="23">
        <v>13.6429635</v>
      </c>
      <c r="X21" s="20">
        <f t="shared" si="2"/>
        <v>4.4837625000000001</v>
      </c>
      <c r="Y21" s="21">
        <f t="shared" si="3"/>
        <v>0.40489701653136745</v>
      </c>
      <c r="Z21" s="44">
        <v>2417984</v>
      </c>
      <c r="AA21" s="22">
        <v>4782680</v>
      </c>
      <c r="AB21" s="45">
        <v>71.586763000000005</v>
      </c>
      <c r="AC21" s="45">
        <v>72.899730599999998</v>
      </c>
      <c r="AD21" s="45">
        <v>36.455519600000002</v>
      </c>
      <c r="AE21" s="45">
        <v>43.7766357</v>
      </c>
      <c r="AF21" s="45">
        <v>45.554348500000003</v>
      </c>
      <c r="AG21" s="45">
        <v>48.474926199999999</v>
      </c>
      <c r="AH21" s="45">
        <v>32.1722313</v>
      </c>
      <c r="AI21" s="23">
        <v>1927.48793</v>
      </c>
      <c r="AJ21" s="23">
        <v>21.091854000000001</v>
      </c>
      <c r="AL21" s="76"/>
      <c r="AM21" s="76"/>
      <c r="AN21" s="76"/>
      <c r="AO21" s="76"/>
      <c r="AP21" s="76"/>
      <c r="AQ21" s="76"/>
      <c r="AR21" s="76"/>
    </row>
    <row r="22" spans="1:44" outlineLevel="1" x14ac:dyDescent="0.3">
      <c r="A22" s="33"/>
      <c r="B22" s="33" t="s">
        <v>58</v>
      </c>
      <c r="C22" s="35" t="s">
        <v>374</v>
      </c>
      <c r="D22" s="33">
        <v>11812090</v>
      </c>
      <c r="E22" s="34">
        <v>12</v>
      </c>
      <c r="F22" s="35">
        <v>32</v>
      </c>
      <c r="G22" s="35">
        <v>30</v>
      </c>
      <c r="H22" s="35">
        <v>10</v>
      </c>
      <c r="J22" s="36">
        <f t="shared" si="0"/>
        <v>7.580355</v>
      </c>
      <c r="K22" s="37">
        <f t="shared" si="1"/>
        <v>0.68452847887207091</v>
      </c>
      <c r="L22" s="46">
        <v>4836096</v>
      </c>
      <c r="M22" s="38">
        <v>8085712</v>
      </c>
      <c r="N22" s="47">
        <v>75.188922700000006</v>
      </c>
      <c r="O22" s="47">
        <v>76.987745899999993</v>
      </c>
      <c r="P22" s="47">
        <v>39.095718099999999</v>
      </c>
      <c r="Q22" s="47">
        <v>44.546574100000001</v>
      </c>
      <c r="R22" s="47">
        <v>46.844578800000001</v>
      </c>
      <c r="S22" s="47">
        <v>50.455557200000001</v>
      </c>
      <c r="T22" s="47">
        <v>34.886436699999997</v>
      </c>
      <c r="U22" s="39">
        <v>1444.58701</v>
      </c>
      <c r="V22" s="39">
        <v>14.558407000000001</v>
      </c>
      <c r="X22" s="36">
        <f t="shared" si="2"/>
        <v>7.5834975</v>
      </c>
      <c r="Y22" s="37">
        <f t="shared" si="3"/>
        <v>0.68481225591745409</v>
      </c>
      <c r="Z22" s="46">
        <v>4836096</v>
      </c>
      <c r="AA22" s="38">
        <v>8089064</v>
      </c>
      <c r="AB22" s="47">
        <v>75.188922700000006</v>
      </c>
      <c r="AC22" s="47">
        <v>76.987745899999993</v>
      </c>
      <c r="AD22" s="47">
        <v>39.095718099999999</v>
      </c>
      <c r="AE22" s="47">
        <v>44.546574100000001</v>
      </c>
      <c r="AF22" s="47">
        <v>46.844578800000001</v>
      </c>
      <c r="AG22" s="47">
        <v>50.455557200000001</v>
      </c>
      <c r="AH22" s="47">
        <v>34.886436699999997</v>
      </c>
      <c r="AI22" s="39">
        <v>2114.0960100000002</v>
      </c>
      <c r="AJ22" s="39">
        <v>23.353428999999998</v>
      </c>
      <c r="AL22" s="77"/>
      <c r="AM22" s="77"/>
      <c r="AN22" s="77"/>
      <c r="AO22" s="77"/>
      <c r="AP22" s="77"/>
      <c r="AQ22" s="77"/>
      <c r="AR22" s="77"/>
    </row>
    <row r="23" spans="1:44" outlineLevel="1" x14ac:dyDescent="0.3">
      <c r="A23" s="17"/>
      <c r="B23" s="17" t="s">
        <v>58</v>
      </c>
      <c r="C23" s="19" t="s">
        <v>375</v>
      </c>
      <c r="D23" s="17">
        <v>11812090</v>
      </c>
      <c r="E23" s="18">
        <v>12</v>
      </c>
      <c r="F23" s="19">
        <v>32</v>
      </c>
      <c r="G23" s="19">
        <v>30</v>
      </c>
      <c r="H23" s="19">
        <v>14</v>
      </c>
      <c r="J23" s="20">
        <f t="shared" si="0"/>
        <v>11.94492</v>
      </c>
      <c r="K23" s="21">
        <f t="shared" si="1"/>
        <v>1.078661608572234</v>
      </c>
      <c r="L23" s="44">
        <v>4836096</v>
      </c>
      <c r="M23" s="22">
        <v>12741248</v>
      </c>
      <c r="N23" s="45">
        <v>76.476066599999996</v>
      </c>
      <c r="O23" s="45">
        <v>78.511051100000003</v>
      </c>
      <c r="P23" s="45">
        <v>40.927903399999998</v>
      </c>
      <c r="Q23" s="45">
        <v>45.538857</v>
      </c>
      <c r="R23" s="45">
        <v>48.364703200000001</v>
      </c>
      <c r="S23" s="45">
        <v>51.137091599999998</v>
      </c>
      <c r="T23" s="45">
        <v>36.048903299999999</v>
      </c>
      <c r="U23" s="23">
        <v>1393.2299599999999</v>
      </c>
      <c r="V23" s="23">
        <v>13.556482300000001</v>
      </c>
      <c r="X23" s="20">
        <f t="shared" si="2"/>
        <v>11.947979999999999</v>
      </c>
      <c r="Y23" s="21">
        <f t="shared" si="3"/>
        <v>1.0789379356235858</v>
      </c>
      <c r="Z23" s="44">
        <v>4836096</v>
      </c>
      <c r="AA23" s="22">
        <v>12744512</v>
      </c>
      <c r="AB23" s="45">
        <v>76.476066599999996</v>
      </c>
      <c r="AC23" s="45">
        <v>78.511051100000003</v>
      </c>
      <c r="AD23" s="45">
        <v>40.927903399999998</v>
      </c>
      <c r="AE23" s="45">
        <v>45.538857</v>
      </c>
      <c r="AF23" s="45">
        <v>48.364703200000001</v>
      </c>
      <c r="AG23" s="45">
        <v>51.137091599999998</v>
      </c>
      <c r="AH23" s="45">
        <v>36.048903299999999</v>
      </c>
      <c r="AI23" s="23">
        <v>2149.9426490000001</v>
      </c>
      <c r="AJ23" s="23">
        <v>21.653905999999999</v>
      </c>
      <c r="AL23" s="76"/>
      <c r="AM23" s="76"/>
      <c r="AN23" s="76"/>
      <c r="AO23" s="76"/>
      <c r="AP23" s="76"/>
      <c r="AQ23" s="76"/>
      <c r="AR23" s="76"/>
    </row>
    <row r="24" spans="1:44" ht="15.75" customHeight="1" outlineLevel="1" thickBot="1" x14ac:dyDescent="0.35">
      <c r="A24" s="25"/>
      <c r="B24" s="25" t="s">
        <v>58</v>
      </c>
      <c r="C24" s="27" t="s">
        <v>376</v>
      </c>
      <c r="D24" s="25">
        <v>11812090</v>
      </c>
      <c r="E24" s="26">
        <v>12</v>
      </c>
      <c r="F24" s="27">
        <v>32</v>
      </c>
      <c r="G24" s="27">
        <v>30</v>
      </c>
      <c r="H24" s="27">
        <v>21</v>
      </c>
      <c r="J24" s="28">
        <f t="shared" si="0"/>
        <v>23.217337499999999</v>
      </c>
      <c r="K24" s="29">
        <f t="shared" si="1"/>
        <v>2.0965942521602865</v>
      </c>
      <c r="L24" s="57">
        <v>1259636</v>
      </c>
      <c r="M24" s="30">
        <v>24765160</v>
      </c>
      <c r="N24" s="58">
        <v>999.99</v>
      </c>
      <c r="O24" s="58">
        <v>999.99</v>
      </c>
      <c r="P24" s="58">
        <v>41.318016999999998</v>
      </c>
      <c r="Q24" s="58">
        <v>45.380315299999999</v>
      </c>
      <c r="R24" s="58">
        <v>48.191897099999998</v>
      </c>
      <c r="S24" s="58">
        <v>999.99</v>
      </c>
      <c r="T24" s="58">
        <v>41.381419899999997</v>
      </c>
      <c r="U24" s="31">
        <v>1118.3891799999999</v>
      </c>
      <c r="V24" s="31">
        <v>14.3335674</v>
      </c>
      <c r="X24" s="28">
        <f t="shared" si="2"/>
        <v>23.219864999999999</v>
      </c>
      <c r="Y24" s="29">
        <f t="shared" si="3"/>
        <v>2.0968224928865258</v>
      </c>
      <c r="Z24" s="57">
        <v>1259636</v>
      </c>
      <c r="AA24" s="30">
        <v>24767856</v>
      </c>
      <c r="AB24" s="58">
        <v>999.99</v>
      </c>
      <c r="AC24" s="58">
        <v>999.99</v>
      </c>
      <c r="AD24" s="58">
        <v>41.318016999999998</v>
      </c>
      <c r="AE24" s="58">
        <v>45.380315299999999</v>
      </c>
      <c r="AF24" s="58">
        <v>48.191897099999998</v>
      </c>
      <c r="AG24" s="58">
        <v>999.99</v>
      </c>
      <c r="AH24" s="58">
        <v>41.381419899999997</v>
      </c>
      <c r="AI24" s="31">
        <v>1601.317427</v>
      </c>
      <c r="AJ24" s="31">
        <v>21.560832999999999</v>
      </c>
      <c r="AL24" s="79"/>
      <c r="AM24" s="79"/>
      <c r="AN24" s="79"/>
      <c r="AO24" s="79"/>
      <c r="AP24" s="79"/>
      <c r="AQ24" s="79"/>
      <c r="AR24" s="79"/>
    </row>
    <row r="25" spans="1:44" x14ac:dyDescent="0.3">
      <c r="A25" s="17" t="s">
        <v>177</v>
      </c>
      <c r="B25" s="17" t="s">
        <v>63</v>
      </c>
      <c r="C25" s="19" t="s">
        <v>372</v>
      </c>
      <c r="D25" s="17">
        <v>12000000</v>
      </c>
      <c r="E25" s="18">
        <v>12</v>
      </c>
      <c r="F25" s="19">
        <v>32</v>
      </c>
      <c r="G25" s="19">
        <v>30</v>
      </c>
      <c r="H25" s="19">
        <v>4</v>
      </c>
      <c r="J25" s="20">
        <f t="shared" si="0"/>
        <v>5.0626125000000002</v>
      </c>
      <c r="K25" s="21">
        <f t="shared" si="1"/>
        <v>0.45001000000000002</v>
      </c>
      <c r="L25" s="44">
        <v>4912768</v>
      </c>
      <c r="M25" s="22">
        <v>5400120</v>
      </c>
      <c r="N25" s="45">
        <v>73.324910700000004</v>
      </c>
      <c r="O25" s="45">
        <v>75.103150900000003</v>
      </c>
      <c r="P25" s="45">
        <v>31.5214997</v>
      </c>
      <c r="Q25" s="45">
        <v>40.384349700000001</v>
      </c>
      <c r="R25" s="45">
        <v>37.590428299999999</v>
      </c>
      <c r="S25" s="45">
        <v>45.0803783</v>
      </c>
      <c r="T25" s="45">
        <v>28.988192000000002</v>
      </c>
      <c r="U25" s="23">
        <v>4353.8140400000002</v>
      </c>
      <c r="V25" s="23">
        <v>44.563534400000002</v>
      </c>
      <c r="X25" s="20">
        <f t="shared" si="2"/>
        <v>5.0655524999999999</v>
      </c>
      <c r="Y25" s="21">
        <f t="shared" si="3"/>
        <v>0.45027133333333336</v>
      </c>
      <c r="Z25" s="44">
        <v>4912768</v>
      </c>
      <c r="AA25" s="22">
        <v>5403256</v>
      </c>
      <c r="AB25" s="45">
        <v>73.324910700000004</v>
      </c>
      <c r="AC25" s="45">
        <v>75.103150900000003</v>
      </c>
      <c r="AD25" s="45">
        <v>31.5214997</v>
      </c>
      <c r="AE25" s="45">
        <v>40.384349700000001</v>
      </c>
      <c r="AF25" s="45">
        <v>37.590428299999999</v>
      </c>
      <c r="AG25" s="45">
        <v>45.0803783</v>
      </c>
      <c r="AH25" s="45">
        <v>28.988192000000002</v>
      </c>
      <c r="AI25" s="23">
        <v>6208.631515</v>
      </c>
      <c r="AJ25" s="23">
        <v>62.401910000000001</v>
      </c>
      <c r="AL25" s="76">
        <f t="array" ref="AL25">IF( OR(AND(ISBLANK(M25:M29)),AND(ISBLANK(AA25:AA29)), AND(ISBLANK(N25:N29)),AND(ISBLANK(AB25:AB29))), "·", bdRateExtend( M25:M29,N25:N29, AA25:AA29,AB25:AB29))</f>
        <v>2.5604446177740492E-4</v>
      </c>
      <c r="AM25" s="76">
        <f t="array" ref="AM25">IF( OR(AND(ISBLANK(M25:M29)),AND(ISBLANK(AA25:AA29)), AND(ISBLANK(O25:O29)),AND(ISBLANK(AC25:AC29))), "·", bdRateExtend( M25:M29,O25:O29, AA25:AA29,AC25:AC29))</f>
        <v>2.4986770686985516E-4</v>
      </c>
      <c r="AN25" s="76">
        <f t="array" ref="AN25">IF( OR(AND(ISBLANK(M25:M29)),AND(ISBLANK(AA25:AA29)), AND(ISBLANK(P25:P29)),AND(ISBLANK(AD25:AD29))), "·", bdRateExtend( M25:M29,P25:P29, AA25:AA29,AD25:AD29))</f>
        <v>3.3564184087042648E-4</v>
      </c>
      <c r="AO25" s="76">
        <f t="array" ref="AO25">IF( OR(AND(ISBLANK(M25:M29)),AND(ISBLANK(AA25:AA29)), AND(ISBLANK(Q25:Q29)),AND(ISBLANK(AE25:AE29))), "·", bdRateExtend( M25:M29,Q25:Q29, AA25:AA29,AE25:AE29))</f>
        <v>4.0151964797896511E-4</v>
      </c>
      <c r="AP25" s="76">
        <f t="array" ref="AP25">IF( OR(AND(ISBLANK(M25:M29)),AND(ISBLANK(AA25:AA29)), AND(ISBLANK(R25:R29)),AND(ISBLANK(AF25:AF29))), "·", bdRateExtend( M25:M29,R25:R29, AA25:AA29,AF25:AF29))</f>
        <v>3.8482016780028161E-4</v>
      </c>
      <c r="AQ25" s="76">
        <f t="array" ref="AQ25">IF( OR(AND(ISBLANK(M25:M29)),AND(ISBLANK(AA25:AA29)), AND(ISBLANK(S25:S29)),AND(ISBLANK(AG25:AG29))), "·", bdRateExtend( M25:M29,S25:S29, AA25:AA29,AG25:AG29))</f>
        <v>2.184619647374042E-4</v>
      </c>
      <c r="AR25" s="76">
        <f t="array" ref="AR25">IF( OR(AND(ISBLANK(M25:M29)),AND(ISBLANK(AA25:AA29)), AND(ISBLANK(T25:T29)),AND(ISBLANK(AH25:AH29))), "·", bdRateExtend( M25:M29,T25:T29, AA25:AA29,AH25:AH29))</f>
        <v>2.8662095176534841E-4</v>
      </c>
    </row>
    <row r="26" spans="1:44" outlineLevel="1" x14ac:dyDescent="0.3">
      <c r="A26" s="33"/>
      <c r="B26" s="33" t="s">
        <v>63</v>
      </c>
      <c r="C26" s="35" t="s">
        <v>373</v>
      </c>
      <c r="D26" s="33">
        <v>12000000</v>
      </c>
      <c r="E26" s="34">
        <v>12</v>
      </c>
      <c r="F26" s="35">
        <v>32</v>
      </c>
      <c r="G26" s="35">
        <v>30</v>
      </c>
      <c r="H26" s="35">
        <v>8</v>
      </c>
      <c r="J26" s="36">
        <f t="shared" si="0"/>
        <v>7.1013074999999999</v>
      </c>
      <c r="K26" s="37">
        <f t="shared" si="1"/>
        <v>0.63122733333333336</v>
      </c>
      <c r="L26" s="46">
        <v>4912768</v>
      </c>
      <c r="M26" s="38">
        <v>7574728</v>
      </c>
      <c r="N26" s="47">
        <v>74.527038200000007</v>
      </c>
      <c r="O26" s="47">
        <v>76.488994899999994</v>
      </c>
      <c r="P26" s="47">
        <v>32.938456600000002</v>
      </c>
      <c r="Q26" s="47">
        <v>42.215449300000003</v>
      </c>
      <c r="R26" s="47">
        <v>39.658188699999997</v>
      </c>
      <c r="S26" s="47">
        <v>45.516765800000002</v>
      </c>
      <c r="T26" s="47">
        <v>30.091213</v>
      </c>
      <c r="U26" s="39">
        <v>4374.1551200000004</v>
      </c>
      <c r="V26" s="39">
        <v>45.636649800000001</v>
      </c>
      <c r="X26" s="36">
        <f t="shared" si="2"/>
        <v>7.1043374999999997</v>
      </c>
      <c r="Y26" s="37">
        <f t="shared" si="3"/>
        <v>0.63149666666666671</v>
      </c>
      <c r="Z26" s="46">
        <v>4912768</v>
      </c>
      <c r="AA26" s="38">
        <v>7577960</v>
      </c>
      <c r="AB26" s="47">
        <v>74.527038200000007</v>
      </c>
      <c r="AC26" s="47">
        <v>76.488994899999994</v>
      </c>
      <c r="AD26" s="47">
        <v>32.938456600000002</v>
      </c>
      <c r="AE26" s="47">
        <v>42.215449300000003</v>
      </c>
      <c r="AF26" s="47">
        <v>39.658188699999997</v>
      </c>
      <c r="AG26" s="47">
        <v>45.516765800000002</v>
      </c>
      <c r="AH26" s="47">
        <v>30.091213</v>
      </c>
      <c r="AI26" s="39">
        <v>6286.6276930000004</v>
      </c>
      <c r="AJ26" s="39">
        <v>69.407138000000003</v>
      </c>
      <c r="AL26" s="77"/>
      <c r="AM26" s="77"/>
      <c r="AN26" s="77"/>
      <c r="AO26" s="77"/>
      <c r="AP26" s="77"/>
      <c r="AQ26" s="77"/>
      <c r="AR26" s="77"/>
    </row>
    <row r="27" spans="1:44" outlineLevel="1" x14ac:dyDescent="0.3">
      <c r="A27" s="17"/>
      <c r="B27" s="17" t="s">
        <v>63</v>
      </c>
      <c r="C27" s="19" t="s">
        <v>374</v>
      </c>
      <c r="D27" s="17">
        <v>12000000</v>
      </c>
      <c r="E27" s="18">
        <v>12</v>
      </c>
      <c r="F27" s="19">
        <v>32</v>
      </c>
      <c r="G27" s="19">
        <v>30</v>
      </c>
      <c r="H27" s="19">
        <v>12</v>
      </c>
      <c r="J27" s="20">
        <f t="shared" si="0"/>
        <v>10.813245</v>
      </c>
      <c r="K27" s="21">
        <f t="shared" si="1"/>
        <v>0.96117733333333333</v>
      </c>
      <c r="L27" s="44">
        <v>2456992</v>
      </c>
      <c r="M27" s="22">
        <v>11534128</v>
      </c>
      <c r="N27" s="45">
        <v>77.443510099999997</v>
      </c>
      <c r="O27" s="45">
        <v>79.943787400000005</v>
      </c>
      <c r="P27" s="45">
        <v>34.329776000000003</v>
      </c>
      <c r="Q27" s="45">
        <v>43.361544700000003</v>
      </c>
      <c r="R27" s="45">
        <v>41.143743299999997</v>
      </c>
      <c r="S27" s="45">
        <v>47.019991699999999</v>
      </c>
      <c r="T27" s="45">
        <v>31.834276500000001</v>
      </c>
      <c r="U27" s="23">
        <v>4559.8947600000001</v>
      </c>
      <c r="V27" s="23">
        <v>46.892160400000002</v>
      </c>
      <c r="X27" s="20">
        <f t="shared" si="2"/>
        <v>10.816185000000001</v>
      </c>
      <c r="Y27" s="21">
        <f t="shared" si="3"/>
        <v>0.96143866666666666</v>
      </c>
      <c r="Z27" s="44">
        <v>2456992</v>
      </c>
      <c r="AA27" s="22">
        <v>11537264</v>
      </c>
      <c r="AB27" s="45">
        <v>77.443510099999997</v>
      </c>
      <c r="AC27" s="45">
        <v>79.943787400000005</v>
      </c>
      <c r="AD27" s="45">
        <v>34.329776000000003</v>
      </c>
      <c r="AE27" s="45">
        <v>43.361544700000003</v>
      </c>
      <c r="AF27" s="45">
        <v>41.143743299999997</v>
      </c>
      <c r="AG27" s="45">
        <v>47.019991699999999</v>
      </c>
      <c r="AH27" s="45">
        <v>31.834276500000001</v>
      </c>
      <c r="AI27" s="23">
        <v>6279.5292380000001</v>
      </c>
      <c r="AJ27" s="23">
        <v>62.468929000000003</v>
      </c>
      <c r="AL27" s="76"/>
      <c r="AM27" s="76"/>
      <c r="AN27" s="76"/>
      <c r="AO27" s="76"/>
      <c r="AP27" s="76"/>
      <c r="AQ27" s="76"/>
      <c r="AR27" s="76"/>
    </row>
    <row r="28" spans="1:44" outlineLevel="1" x14ac:dyDescent="0.3">
      <c r="A28" s="33"/>
      <c r="B28" s="33" t="s">
        <v>63</v>
      </c>
      <c r="C28" s="35" t="s">
        <v>375</v>
      </c>
      <c r="D28" s="33">
        <v>12000000</v>
      </c>
      <c r="E28" s="34">
        <v>12</v>
      </c>
      <c r="F28" s="35">
        <v>32</v>
      </c>
      <c r="G28" s="35">
        <v>30</v>
      </c>
      <c r="H28" s="35">
        <v>17</v>
      </c>
      <c r="J28" s="36">
        <f t="shared" si="0"/>
        <v>12.403964999999999</v>
      </c>
      <c r="K28" s="37">
        <f t="shared" si="1"/>
        <v>1.1025746666666667</v>
      </c>
      <c r="L28" s="46">
        <v>4914848</v>
      </c>
      <c r="M28" s="38">
        <v>13230896</v>
      </c>
      <c r="N28" s="47">
        <v>79.527927599999998</v>
      </c>
      <c r="O28" s="47">
        <v>82.634541200000001</v>
      </c>
      <c r="P28" s="47">
        <v>34.5638091</v>
      </c>
      <c r="Q28" s="47">
        <v>43.376177200000001</v>
      </c>
      <c r="R28" s="47">
        <v>41.223072799999997</v>
      </c>
      <c r="S28" s="47">
        <v>48.555155300000003</v>
      </c>
      <c r="T28" s="47">
        <v>32.746724200000003</v>
      </c>
      <c r="U28" s="39">
        <v>5226.0216099999998</v>
      </c>
      <c r="V28" s="39">
        <v>49.442241299999999</v>
      </c>
      <c r="X28" s="36">
        <f t="shared" si="2"/>
        <v>12.406897499999999</v>
      </c>
      <c r="Y28" s="37">
        <f t="shared" si="3"/>
        <v>1.1028353333333334</v>
      </c>
      <c r="Z28" s="46">
        <v>4914848</v>
      </c>
      <c r="AA28" s="38">
        <v>13234024</v>
      </c>
      <c r="AB28" s="47">
        <v>79.527927599999998</v>
      </c>
      <c r="AC28" s="47">
        <v>82.634541200000001</v>
      </c>
      <c r="AD28" s="47">
        <v>34.5638091</v>
      </c>
      <c r="AE28" s="47">
        <v>43.376177200000001</v>
      </c>
      <c r="AF28" s="47">
        <v>41.223072799999997</v>
      </c>
      <c r="AG28" s="47">
        <v>48.555155300000003</v>
      </c>
      <c r="AH28" s="47">
        <v>32.746724200000003</v>
      </c>
      <c r="AI28" s="39">
        <v>6893.8118930000001</v>
      </c>
      <c r="AJ28" s="39">
        <v>62.775903999999997</v>
      </c>
      <c r="AL28" s="77"/>
      <c r="AM28" s="77"/>
      <c r="AN28" s="77"/>
      <c r="AO28" s="77"/>
      <c r="AP28" s="77"/>
      <c r="AQ28" s="77"/>
      <c r="AR28" s="77"/>
    </row>
    <row r="29" spans="1:44" ht="15.75" customHeight="1" outlineLevel="1" thickBot="1" x14ac:dyDescent="0.35">
      <c r="A29" s="17"/>
      <c r="B29" s="48" t="s">
        <v>63</v>
      </c>
      <c r="C29" s="49" t="s">
        <v>376</v>
      </c>
      <c r="D29" s="48">
        <v>12000000</v>
      </c>
      <c r="E29" s="50">
        <v>12</v>
      </c>
      <c r="F29" s="49">
        <v>32</v>
      </c>
      <c r="G29" s="49">
        <v>30</v>
      </c>
      <c r="H29" s="49">
        <v>25</v>
      </c>
      <c r="J29" s="51">
        <f t="shared" si="0"/>
        <v>22.401225</v>
      </c>
      <c r="K29" s="52">
        <f t="shared" si="1"/>
        <v>1.99122</v>
      </c>
      <c r="L29" s="53">
        <v>921591</v>
      </c>
      <c r="M29" s="54">
        <v>23894640</v>
      </c>
      <c r="N29" s="55">
        <v>85.9955164</v>
      </c>
      <c r="O29" s="55">
        <v>91.337711799999994</v>
      </c>
      <c r="P29" s="55">
        <v>35.982384500000002</v>
      </c>
      <c r="Q29" s="55">
        <v>44.041339800000003</v>
      </c>
      <c r="R29" s="55">
        <v>42.169474399999999</v>
      </c>
      <c r="S29" s="55">
        <v>55.644798000000002</v>
      </c>
      <c r="T29" s="55">
        <v>35.466217999999998</v>
      </c>
      <c r="U29" s="56">
        <v>6492.6803499999996</v>
      </c>
      <c r="V29" s="56">
        <v>48.581600999999999</v>
      </c>
      <c r="X29" s="51">
        <f t="shared" si="2"/>
        <v>22.403767500000001</v>
      </c>
      <c r="Y29" s="52">
        <f t="shared" si="3"/>
        <v>1.991446</v>
      </c>
      <c r="Z29" s="53">
        <v>921591</v>
      </c>
      <c r="AA29" s="54">
        <v>23897352</v>
      </c>
      <c r="AB29" s="55">
        <v>85.9955164</v>
      </c>
      <c r="AC29" s="55">
        <v>91.337711799999994</v>
      </c>
      <c r="AD29" s="55">
        <v>35.982384500000002</v>
      </c>
      <c r="AE29" s="55">
        <v>44.041339800000003</v>
      </c>
      <c r="AF29" s="55">
        <v>42.169474399999999</v>
      </c>
      <c r="AG29" s="55">
        <v>55.644798000000002</v>
      </c>
      <c r="AH29" s="55">
        <v>35.466217999999998</v>
      </c>
      <c r="AI29" s="56">
        <v>9286.2454379999999</v>
      </c>
      <c r="AJ29" s="56">
        <v>135.16367600000001</v>
      </c>
      <c r="AL29" s="78"/>
      <c r="AM29" s="78"/>
      <c r="AN29" s="78"/>
      <c r="AO29" s="78"/>
      <c r="AP29" s="78"/>
      <c r="AQ29" s="78"/>
      <c r="AR29" s="78"/>
    </row>
    <row r="30" spans="1:44" x14ac:dyDescent="0.3">
      <c r="A30" s="33"/>
      <c r="B30" s="33" t="s">
        <v>68</v>
      </c>
      <c r="C30" s="35" t="s">
        <v>372</v>
      </c>
      <c r="D30" s="33">
        <v>5997654</v>
      </c>
      <c r="E30" s="34">
        <v>12</v>
      </c>
      <c r="F30" s="35">
        <v>32</v>
      </c>
      <c r="G30" s="35">
        <v>30</v>
      </c>
      <c r="H30" s="35">
        <v>4</v>
      </c>
      <c r="J30" s="36">
        <f t="shared" si="0"/>
        <v>3.0394424999999998</v>
      </c>
      <c r="K30" s="37">
        <f t="shared" si="1"/>
        <v>0.54055669099951409</v>
      </c>
      <c r="L30" s="46">
        <v>2425472</v>
      </c>
      <c r="M30" s="38">
        <v>3242072</v>
      </c>
      <c r="N30" s="47">
        <v>70.787130199999993</v>
      </c>
      <c r="O30" s="47">
        <v>72.125831399999996</v>
      </c>
      <c r="P30" s="47">
        <v>37.3612009</v>
      </c>
      <c r="Q30" s="47">
        <v>43.931303300000003</v>
      </c>
      <c r="R30" s="47">
        <v>42.366922199999998</v>
      </c>
      <c r="S30" s="47">
        <v>45.233574099999998</v>
      </c>
      <c r="T30" s="47">
        <v>33.348143899999997</v>
      </c>
      <c r="U30" s="39">
        <v>2702.1413400000001</v>
      </c>
      <c r="V30" s="39">
        <v>11.631828799999999</v>
      </c>
      <c r="X30" s="36">
        <f t="shared" si="2"/>
        <v>3.0422775</v>
      </c>
      <c r="Y30" s="37">
        <f t="shared" si="3"/>
        <v>0.54106088814059627</v>
      </c>
      <c r="Z30" s="46">
        <v>2425472</v>
      </c>
      <c r="AA30" s="38">
        <v>3245096</v>
      </c>
      <c r="AB30" s="47">
        <v>70.787130200000007</v>
      </c>
      <c r="AC30" s="47">
        <v>72.125831399999996</v>
      </c>
      <c r="AD30" s="47">
        <v>37.3612009</v>
      </c>
      <c r="AE30" s="47">
        <v>43.931303300000003</v>
      </c>
      <c r="AF30" s="47">
        <v>42.366922199999998</v>
      </c>
      <c r="AG30" s="47">
        <v>45.233574099999998</v>
      </c>
      <c r="AH30" s="47">
        <v>33.348143899999997</v>
      </c>
      <c r="AI30" s="39">
        <v>3818.0979419999999</v>
      </c>
      <c r="AJ30" s="39">
        <v>16.533866</v>
      </c>
      <c r="AL30" s="77">
        <f t="array" ref="AL30">IF( OR(AND(ISBLANK(M30:M34)),AND(ISBLANK(AA30:AA34)), AND(ISBLANK(N30:N34)),AND(ISBLANK(AB30:AB34))), "·", bdRateExtend( M30:M34,N30:N34, AA30:AA34,AB30:AB34))</f>
        <v>4.715382884266095E-4</v>
      </c>
      <c r="AM30" s="77">
        <f t="array" ref="AM30">IF( OR(AND(ISBLANK(M30:M34)),AND(ISBLANK(AA30:AA34)), AND(ISBLANK(O30:O34)),AND(ISBLANK(AC30:AC34))), "·", bdRateExtend( M30:M34,O30:O34, AA30:AA34,AC30:AC34))</f>
        <v>4.5823471666284199E-4</v>
      </c>
      <c r="AN30" s="77">
        <f t="array" ref="AN30">IF( OR(AND(ISBLANK(M30:M34)),AND(ISBLANK(AA30:AA34)), AND(ISBLANK(P30:P34)),AND(ISBLANK(AD30:AD34))), "·", bdRateExtend( M30:M34,P30:P34, AA30:AA34,AD30:AD34))</f>
        <v>4.3185378402954555E-4</v>
      </c>
      <c r="AO30" s="77">
        <f t="array" ref="AO30">IF( OR(AND(ISBLANK(M30:M34)),AND(ISBLANK(AA30:AA34)), AND(ISBLANK(Q30:Q34)),AND(ISBLANK(AE30:AE34))), "·", bdRateExtend( M30:M34,Q30:Q34, AA30:AA34,AE30:AE34))</f>
        <v>4.4773312021351153E-4</v>
      </c>
      <c r="AP30" s="77">
        <f t="array" ref="AP30">IF( OR(AND(ISBLANK(M30:M34)),AND(ISBLANK(AA30:AA34)), AND(ISBLANK(R30:R34)),AND(ISBLANK(AF30:AF34))), "·", bdRateExtend( M30:M34,R30:R34, AA30:AA34,AF30:AF34))</f>
        <v>4.5285379718706942E-4</v>
      </c>
      <c r="AQ30" s="77">
        <f t="array" ref="AQ30">IF( OR(AND(ISBLANK(M30:M34)),AND(ISBLANK(AA30:AA34)), AND(ISBLANK(S30:S34)),AND(ISBLANK(AG30:AG34))), "·", bdRateExtend( M30:M34,S30:S34, AA30:AA34,AG30:AG34))</f>
        <v>4.5010342065410214E-4</v>
      </c>
      <c r="AR30" s="77">
        <f t="array" ref="AR30">IF( OR(AND(ISBLANK(M30:M34)),AND(ISBLANK(AA30:AA34)), AND(ISBLANK(T30:T34)),AND(ISBLANK(AH30:AH34))), "·", bdRateExtend( M30:M34,T30:T34, AA30:AA34,AH30:AH34))</f>
        <v>4.2555177669001409E-4</v>
      </c>
    </row>
    <row r="31" spans="1:44" outlineLevel="1" x14ac:dyDescent="0.3">
      <c r="A31" s="17"/>
      <c r="B31" s="17" t="s">
        <v>68</v>
      </c>
      <c r="C31" s="19" t="s">
        <v>373</v>
      </c>
      <c r="D31" s="17">
        <v>5997654</v>
      </c>
      <c r="E31" s="18">
        <v>12</v>
      </c>
      <c r="F31" s="19">
        <v>32</v>
      </c>
      <c r="G31" s="19">
        <v>30</v>
      </c>
      <c r="H31" s="19">
        <v>8</v>
      </c>
      <c r="J31" s="20">
        <f t="shared" si="0"/>
        <v>6.2094224999999996</v>
      </c>
      <c r="K31" s="21">
        <f t="shared" si="1"/>
        <v>1.1043291260216077</v>
      </c>
      <c r="L31" s="44">
        <v>2449840</v>
      </c>
      <c r="M31" s="22">
        <v>6623384</v>
      </c>
      <c r="N31" s="45">
        <v>75.955084299999996</v>
      </c>
      <c r="O31" s="45">
        <v>77.893559400000001</v>
      </c>
      <c r="P31" s="45">
        <v>39.578807500000003</v>
      </c>
      <c r="Q31" s="45">
        <v>45.514550700000001</v>
      </c>
      <c r="R31" s="45">
        <v>44.345151999999999</v>
      </c>
      <c r="S31" s="45">
        <v>48.285305399999999</v>
      </c>
      <c r="T31" s="45">
        <v>36.243893200000002</v>
      </c>
      <c r="U31" s="23">
        <v>8675.2031700000007</v>
      </c>
      <c r="V31" s="23">
        <v>42.672086800000002</v>
      </c>
      <c r="X31" s="20">
        <f t="shared" si="2"/>
        <v>6.2121525000000002</v>
      </c>
      <c r="Y31" s="21">
        <f t="shared" si="3"/>
        <v>1.1048146491945017</v>
      </c>
      <c r="Z31" s="44">
        <v>2449840</v>
      </c>
      <c r="AA31" s="22">
        <v>6626296</v>
      </c>
      <c r="AB31" s="45">
        <v>75.955084299999996</v>
      </c>
      <c r="AC31" s="45">
        <v>77.893559400000001</v>
      </c>
      <c r="AD31" s="45">
        <v>39.578807500000003</v>
      </c>
      <c r="AE31" s="45">
        <v>45.514550700000001</v>
      </c>
      <c r="AF31" s="45">
        <v>44.345151999999999</v>
      </c>
      <c r="AG31" s="45">
        <v>48.285305399999999</v>
      </c>
      <c r="AH31" s="45">
        <v>36.243893200000002</v>
      </c>
      <c r="AI31" s="23">
        <v>14896.683254</v>
      </c>
      <c r="AJ31" s="23">
        <v>110.118842</v>
      </c>
      <c r="AL31" s="76"/>
      <c r="AM31" s="76"/>
      <c r="AN31" s="76"/>
      <c r="AO31" s="76"/>
      <c r="AP31" s="76"/>
      <c r="AQ31" s="76"/>
      <c r="AR31" s="76"/>
    </row>
    <row r="32" spans="1:44" outlineLevel="1" x14ac:dyDescent="0.3">
      <c r="A32" s="33"/>
      <c r="B32" s="33" t="s">
        <v>68</v>
      </c>
      <c r="C32" s="35" t="s">
        <v>374</v>
      </c>
      <c r="D32" s="33">
        <v>5997654</v>
      </c>
      <c r="E32" s="34">
        <v>12</v>
      </c>
      <c r="F32" s="35">
        <v>32</v>
      </c>
      <c r="G32" s="35">
        <v>30</v>
      </c>
      <c r="H32" s="35">
        <v>12</v>
      </c>
      <c r="J32" s="36">
        <f t="shared" si="0"/>
        <v>9.3532650000000004</v>
      </c>
      <c r="K32" s="37">
        <f t="shared" si="1"/>
        <v>1.6634530768197031</v>
      </c>
      <c r="L32" s="46">
        <v>2449840</v>
      </c>
      <c r="M32" s="38">
        <v>9976816</v>
      </c>
      <c r="N32" s="47">
        <v>76.706620599999994</v>
      </c>
      <c r="O32" s="47">
        <v>78.779275200000001</v>
      </c>
      <c r="P32" s="47">
        <v>41.393509000000002</v>
      </c>
      <c r="Q32" s="47">
        <v>46.220586699999998</v>
      </c>
      <c r="R32" s="47">
        <v>45.201267000000001</v>
      </c>
      <c r="S32" s="47">
        <v>48.688803</v>
      </c>
      <c r="T32" s="47">
        <v>37.243607699999998</v>
      </c>
      <c r="U32" s="39">
        <v>9254.9963900000002</v>
      </c>
      <c r="V32" s="39">
        <v>45.008335099999996</v>
      </c>
      <c r="X32" s="36">
        <f t="shared" si="2"/>
        <v>9.3564749999999997</v>
      </c>
      <c r="Y32" s="37">
        <f t="shared" si="3"/>
        <v>1.6640239667043146</v>
      </c>
      <c r="Z32" s="46">
        <v>2449840</v>
      </c>
      <c r="AA32" s="38">
        <v>9980240</v>
      </c>
      <c r="AB32" s="47">
        <v>76.706620599999994</v>
      </c>
      <c r="AC32" s="47">
        <v>78.779275200000001</v>
      </c>
      <c r="AD32" s="47">
        <v>41.393509000000002</v>
      </c>
      <c r="AE32" s="47">
        <v>46.220586699999998</v>
      </c>
      <c r="AF32" s="47">
        <v>45.201267000000001</v>
      </c>
      <c r="AG32" s="47">
        <v>48.688803</v>
      </c>
      <c r="AH32" s="47">
        <v>37.243607699999998</v>
      </c>
      <c r="AI32" s="39">
        <v>16820.175858999999</v>
      </c>
      <c r="AJ32" s="39">
        <v>132.910011</v>
      </c>
      <c r="AL32" s="77"/>
      <c r="AM32" s="77"/>
      <c r="AN32" s="77"/>
      <c r="AO32" s="77"/>
      <c r="AP32" s="77"/>
      <c r="AQ32" s="77"/>
      <c r="AR32" s="77"/>
    </row>
    <row r="33" spans="1:44" outlineLevel="1" x14ac:dyDescent="0.3">
      <c r="A33" s="17"/>
      <c r="B33" s="17" t="s">
        <v>68</v>
      </c>
      <c r="C33" s="19" t="s">
        <v>375</v>
      </c>
      <c r="D33" s="17">
        <v>5997654</v>
      </c>
      <c r="E33" s="18">
        <v>12</v>
      </c>
      <c r="F33" s="19">
        <v>32</v>
      </c>
      <c r="G33" s="19">
        <v>30</v>
      </c>
      <c r="H33" s="19">
        <v>17</v>
      </c>
      <c r="J33" s="20">
        <f t="shared" si="0"/>
        <v>13.608615</v>
      </c>
      <c r="K33" s="21">
        <f t="shared" si="1"/>
        <v>2.4202556532937711</v>
      </c>
      <c r="L33" s="44">
        <v>4909088</v>
      </c>
      <c r="M33" s="22">
        <v>14515856</v>
      </c>
      <c r="N33" s="45">
        <v>80.795180200000004</v>
      </c>
      <c r="O33" s="45">
        <v>84.088485700000007</v>
      </c>
      <c r="P33" s="45">
        <v>42.560816099999997</v>
      </c>
      <c r="Q33" s="45">
        <v>47.061757900000003</v>
      </c>
      <c r="R33" s="45">
        <v>46.180168500000001</v>
      </c>
      <c r="S33" s="45">
        <v>51.216741499999998</v>
      </c>
      <c r="T33" s="45">
        <v>39.599403100000004</v>
      </c>
      <c r="U33" s="23">
        <v>9654.4190299999991</v>
      </c>
      <c r="V33" s="23">
        <v>43.914022199999998</v>
      </c>
      <c r="X33" s="20">
        <f t="shared" si="2"/>
        <v>13.6119225</v>
      </c>
      <c r="Y33" s="21">
        <f t="shared" si="3"/>
        <v>2.4208438832917003</v>
      </c>
      <c r="Z33" s="44">
        <v>4909088</v>
      </c>
      <c r="AA33" s="22">
        <v>14519384</v>
      </c>
      <c r="AB33" s="45">
        <v>80.795180200000004</v>
      </c>
      <c r="AC33" s="45">
        <v>84.088485700000007</v>
      </c>
      <c r="AD33" s="45">
        <v>42.560816099999997</v>
      </c>
      <c r="AE33" s="45">
        <v>47.061757900000003</v>
      </c>
      <c r="AF33" s="45">
        <v>46.180168500000001</v>
      </c>
      <c r="AG33" s="45">
        <v>51.216741499999998</v>
      </c>
      <c r="AH33" s="45">
        <v>39.599403100000004</v>
      </c>
      <c r="AI33" s="23">
        <v>17798.673889000002</v>
      </c>
      <c r="AJ33" s="23">
        <v>130.45773299999999</v>
      </c>
      <c r="AL33" s="76"/>
      <c r="AM33" s="76"/>
      <c r="AN33" s="76"/>
      <c r="AO33" s="76"/>
      <c r="AP33" s="76"/>
      <c r="AQ33" s="76"/>
      <c r="AR33" s="76"/>
    </row>
    <row r="34" spans="1:44" ht="15.75" customHeight="1" outlineLevel="1" thickBot="1" x14ac:dyDescent="0.35">
      <c r="A34" s="33"/>
      <c r="B34" s="25" t="s">
        <v>68</v>
      </c>
      <c r="C34" s="27" t="s">
        <v>376</v>
      </c>
      <c r="D34" s="25">
        <v>5997654</v>
      </c>
      <c r="E34" s="26">
        <v>12</v>
      </c>
      <c r="F34" s="27">
        <v>32</v>
      </c>
      <c r="G34" s="27">
        <v>30</v>
      </c>
      <c r="H34" s="27">
        <v>25</v>
      </c>
      <c r="J34" s="28">
        <f t="shared" si="0"/>
        <v>21.742822499999999</v>
      </c>
      <c r="K34" s="29">
        <f t="shared" si="1"/>
        <v>3.8669026255932737</v>
      </c>
      <c r="L34" s="57">
        <v>614149</v>
      </c>
      <c r="M34" s="30">
        <v>23192344</v>
      </c>
      <c r="N34" s="58">
        <v>83.292922099999998</v>
      </c>
      <c r="O34" s="58">
        <v>87.0671885</v>
      </c>
      <c r="P34" s="58">
        <v>43.703677800000001</v>
      </c>
      <c r="Q34" s="58">
        <v>47.797372199999998</v>
      </c>
      <c r="R34" s="58">
        <v>47.057623599999999</v>
      </c>
      <c r="S34" s="58">
        <v>53.341924200000001</v>
      </c>
      <c r="T34" s="58">
        <v>41.3423497</v>
      </c>
      <c r="U34" s="31">
        <v>5262.5231199999998</v>
      </c>
      <c r="V34" s="31">
        <v>47.646033600000003</v>
      </c>
      <c r="X34" s="28">
        <f t="shared" si="2"/>
        <v>21.7478625</v>
      </c>
      <c r="Y34" s="29">
        <f t="shared" si="3"/>
        <v>3.8677989760663087</v>
      </c>
      <c r="Z34" s="57">
        <v>614149</v>
      </c>
      <c r="AA34" s="30">
        <v>23197720</v>
      </c>
      <c r="AB34" s="58">
        <v>83.292922099999998</v>
      </c>
      <c r="AC34" s="58">
        <v>87.0671885</v>
      </c>
      <c r="AD34" s="58">
        <v>43.703677800000001</v>
      </c>
      <c r="AE34" s="58">
        <v>47.797372199999998</v>
      </c>
      <c r="AF34" s="58">
        <v>47.057623599999999</v>
      </c>
      <c r="AG34" s="58">
        <v>53.341924200000001</v>
      </c>
      <c r="AH34" s="58">
        <v>41.3423497</v>
      </c>
      <c r="AI34" s="31">
        <v>7542.969873</v>
      </c>
      <c r="AJ34" s="31">
        <v>62.673005000000003</v>
      </c>
      <c r="AL34" s="79"/>
      <c r="AM34" s="79"/>
      <c r="AN34" s="79"/>
      <c r="AO34" s="79"/>
      <c r="AP34" s="79"/>
      <c r="AQ34" s="79"/>
      <c r="AR34" s="79"/>
    </row>
    <row r="35" spans="1:44" x14ac:dyDescent="0.3">
      <c r="A35" s="17"/>
      <c r="B35" s="17" t="s">
        <v>32</v>
      </c>
      <c r="C35" s="19" t="s">
        <v>372</v>
      </c>
      <c r="D35" s="17">
        <v>9000000</v>
      </c>
      <c r="E35" s="18">
        <v>12</v>
      </c>
      <c r="F35" s="19">
        <v>32</v>
      </c>
      <c r="G35" s="19">
        <v>30</v>
      </c>
      <c r="H35" s="19">
        <v>3</v>
      </c>
      <c r="J35" s="20">
        <f t="shared" si="0"/>
        <v>2.7825674999999999</v>
      </c>
      <c r="K35" s="21">
        <f t="shared" si="1"/>
        <v>0.32978577777777779</v>
      </c>
      <c r="L35" s="44">
        <v>3680512</v>
      </c>
      <c r="M35" s="22">
        <v>2968072</v>
      </c>
      <c r="N35" s="45">
        <v>72.274590399999994</v>
      </c>
      <c r="O35" s="45">
        <v>73.805226300000001</v>
      </c>
      <c r="P35" s="45">
        <v>29.823357099999999</v>
      </c>
      <c r="Q35" s="45">
        <v>38.873054199999999</v>
      </c>
      <c r="R35" s="45">
        <v>38.822116700000002</v>
      </c>
      <c r="S35" s="45">
        <v>47.910248600000003</v>
      </c>
      <c r="T35" s="45">
        <v>28.918730199999999</v>
      </c>
      <c r="U35" s="23">
        <v>2361.70381</v>
      </c>
      <c r="V35" s="23">
        <v>10.8874914</v>
      </c>
      <c r="X35" s="20">
        <f t="shared" si="2"/>
        <v>2.7851775000000001</v>
      </c>
      <c r="Y35" s="21">
        <f t="shared" si="3"/>
        <v>0.33009511111111112</v>
      </c>
      <c r="Z35" s="44">
        <v>3680512</v>
      </c>
      <c r="AA35" s="22">
        <v>2970856</v>
      </c>
      <c r="AB35" s="45">
        <v>72.274590399999994</v>
      </c>
      <c r="AC35" s="45">
        <v>73.805226300000001</v>
      </c>
      <c r="AD35" s="45">
        <v>29.823357099999999</v>
      </c>
      <c r="AE35" s="45">
        <v>38.873054199999999</v>
      </c>
      <c r="AF35" s="45">
        <v>38.822116700000002</v>
      </c>
      <c r="AG35" s="45">
        <v>47.910248600000003</v>
      </c>
      <c r="AH35" s="45">
        <v>28.918730199999999</v>
      </c>
      <c r="AI35" s="23">
        <v>3537.5985350000001</v>
      </c>
      <c r="AJ35" s="23">
        <v>16.001929000000001</v>
      </c>
      <c r="AL35" s="76">
        <f t="array" ref="AL35">IF( OR(AND(ISBLANK(M35:M39)),AND(ISBLANK(AA35:AA39)), AND(ISBLANK(N35:N39)),AND(ISBLANK(AB35:AB39))), "·", bdRateExtend( M35:M39,N35:N39, AA35:AA39,AB35:AB39))</f>
        <v>3.8742498975374851E-4</v>
      </c>
      <c r="AM35" s="76">
        <f t="array" ref="AM35">IF( OR(AND(ISBLANK(M35:M39)),AND(ISBLANK(AA35:AA39)), AND(ISBLANK(O35:O39)),AND(ISBLANK(AC35:AC39))), "·", bdRateExtend( M35:M39,O35:O39, AA35:AA39,AC35:AC39))</f>
        <v>3.8782634141432126E-4</v>
      </c>
      <c r="AN35" s="76">
        <f t="array" ref="AN35">IF( OR(AND(ISBLANK(M35:M39)),AND(ISBLANK(AA35:AA39)), AND(ISBLANK(P35:P39)),AND(ISBLANK(AD35:AD39))), "·", bdRateExtend( M35:M39,P35:P39, AA35:AA39,AD35:AD39))</f>
        <v>5.7688202939143451E-4</v>
      </c>
      <c r="AO35" s="76">
        <f t="array" ref="AO35">IF( OR(AND(ISBLANK(M35:M39)),AND(ISBLANK(AA35:AA39)), AND(ISBLANK(Q35:Q39)),AND(ISBLANK(AE35:AE39))), "·", bdRateExtend( M35:M39,Q35:Q39, AA35:AA39,AE35:AE39))</f>
        <v>5.7298083438617198E-4</v>
      </c>
      <c r="AP35" s="76">
        <f t="array" ref="AP35">IF( OR(AND(ISBLANK(M35:M39)),AND(ISBLANK(AA35:AA39)), AND(ISBLANK(R35:R39)),AND(ISBLANK(AF35:AF39))), "·", bdRateExtend( M35:M39,R35:R39, AA35:AA39,AF35:AF39))</f>
        <v>5.1828498010664248E-4</v>
      </c>
      <c r="AQ35" s="76">
        <f t="array" ref="AQ35">IF( OR(AND(ISBLANK(M35:M39)),AND(ISBLANK(AA35:AA39)), AND(ISBLANK(S35:S39)),AND(ISBLANK(AG35:AG39))), "·", bdRateExtend( M35:M39,S35:S39, AA35:AA39,AG35:AG39))</f>
        <v>3.8540150635424375E-4</v>
      </c>
      <c r="AR35" s="76">
        <f t="array" ref="AR35">IF( OR(AND(ISBLANK(M35:M39)),AND(ISBLANK(AA35:AA39)), AND(ISBLANK(T35:T39)),AND(ISBLANK(AH35:AH39))), "·", bdRateExtend( M35:M39,T35:T39, AA35:AA39,AH35:AH39))</f>
        <v>4.5176675669389432E-4</v>
      </c>
    </row>
    <row r="36" spans="1:44" outlineLevel="1" x14ac:dyDescent="0.3">
      <c r="A36" s="33"/>
      <c r="B36" s="33" t="s">
        <v>32</v>
      </c>
      <c r="C36" s="35" t="s">
        <v>373</v>
      </c>
      <c r="D36" s="33">
        <v>9000000</v>
      </c>
      <c r="E36" s="34">
        <v>12</v>
      </c>
      <c r="F36" s="35">
        <v>32</v>
      </c>
      <c r="G36" s="35">
        <v>30</v>
      </c>
      <c r="H36" s="35">
        <v>4</v>
      </c>
      <c r="J36" s="36">
        <f t="shared" si="0"/>
        <v>3.7793100000000002</v>
      </c>
      <c r="K36" s="37">
        <f t="shared" si="1"/>
        <v>0.44791822222222222</v>
      </c>
      <c r="L36" s="46">
        <v>3680512</v>
      </c>
      <c r="M36" s="38">
        <v>4031264</v>
      </c>
      <c r="N36" s="47">
        <v>73.261614199999997</v>
      </c>
      <c r="O36" s="47">
        <v>74.898177000000004</v>
      </c>
      <c r="P36" s="47">
        <v>30.192587100000001</v>
      </c>
      <c r="Q36" s="47">
        <v>38.9384643</v>
      </c>
      <c r="R36" s="47">
        <v>38.924139500000003</v>
      </c>
      <c r="S36" s="47">
        <v>48.392262700000003</v>
      </c>
      <c r="T36" s="47">
        <v>29.2666957</v>
      </c>
      <c r="U36" s="39">
        <v>2434.6482700000001</v>
      </c>
      <c r="V36" s="39">
        <v>11.204209499999999</v>
      </c>
      <c r="X36" s="36">
        <f t="shared" si="2"/>
        <v>3.78207</v>
      </c>
      <c r="Y36" s="37">
        <f t="shared" si="3"/>
        <v>0.44824533333333333</v>
      </c>
      <c r="Z36" s="46">
        <v>3680512</v>
      </c>
      <c r="AA36" s="38">
        <v>4034208</v>
      </c>
      <c r="AB36" s="47">
        <v>73.261614199999997</v>
      </c>
      <c r="AC36" s="47">
        <v>74.898177000000004</v>
      </c>
      <c r="AD36" s="47">
        <v>30.192587100000001</v>
      </c>
      <c r="AE36" s="47">
        <v>38.9384643</v>
      </c>
      <c r="AF36" s="47">
        <v>38.924139500000003</v>
      </c>
      <c r="AG36" s="47">
        <v>48.392262700000003</v>
      </c>
      <c r="AH36" s="47">
        <v>29.2666957</v>
      </c>
      <c r="AI36" s="39">
        <v>3633.2342250000002</v>
      </c>
      <c r="AJ36" s="39">
        <v>15.626227</v>
      </c>
      <c r="AL36" s="77"/>
      <c r="AM36" s="77"/>
      <c r="AN36" s="77"/>
      <c r="AO36" s="77"/>
      <c r="AP36" s="77"/>
      <c r="AQ36" s="77"/>
      <c r="AR36" s="77"/>
    </row>
    <row r="37" spans="1:44" outlineLevel="1" x14ac:dyDescent="0.3">
      <c r="A37" s="17"/>
      <c r="B37" s="17" t="s">
        <v>32</v>
      </c>
      <c r="C37" s="19" t="s">
        <v>374</v>
      </c>
      <c r="D37" s="17">
        <v>9000000</v>
      </c>
      <c r="E37" s="18">
        <v>12</v>
      </c>
      <c r="F37" s="19">
        <v>32</v>
      </c>
      <c r="G37" s="19">
        <v>30</v>
      </c>
      <c r="H37" s="19">
        <v>6</v>
      </c>
      <c r="J37" s="20">
        <f t="shared" si="0"/>
        <v>5.3375399999999997</v>
      </c>
      <c r="K37" s="21">
        <f t="shared" si="1"/>
        <v>0.63259733333333334</v>
      </c>
      <c r="L37" s="44">
        <v>3680512</v>
      </c>
      <c r="M37" s="22">
        <v>5693376</v>
      </c>
      <c r="N37" s="45">
        <v>75.739699599999994</v>
      </c>
      <c r="O37" s="45">
        <v>77.651199700000006</v>
      </c>
      <c r="P37" s="45">
        <v>30.8841742</v>
      </c>
      <c r="Q37" s="45">
        <v>39.042191099999997</v>
      </c>
      <c r="R37" s="45">
        <v>39.245666200000002</v>
      </c>
      <c r="S37" s="45">
        <v>49.625823099999998</v>
      </c>
      <c r="T37" s="45">
        <v>30.021154200000002</v>
      </c>
      <c r="U37" s="23">
        <v>7086.17328</v>
      </c>
      <c r="V37" s="23">
        <v>40.013746900000001</v>
      </c>
      <c r="X37" s="20">
        <f t="shared" si="2"/>
        <v>5.3403450000000001</v>
      </c>
      <c r="Y37" s="21">
        <f t="shared" si="3"/>
        <v>0.63292977777777781</v>
      </c>
      <c r="Z37" s="44">
        <v>3680512</v>
      </c>
      <c r="AA37" s="22">
        <v>5696368</v>
      </c>
      <c r="AB37" s="45">
        <v>75.739699599999994</v>
      </c>
      <c r="AC37" s="45">
        <v>77.651199700000006</v>
      </c>
      <c r="AD37" s="45">
        <v>30.8841742</v>
      </c>
      <c r="AE37" s="45">
        <v>39.042191099999997</v>
      </c>
      <c r="AF37" s="45">
        <v>39.245666200000002</v>
      </c>
      <c r="AG37" s="45">
        <v>49.625823099999998</v>
      </c>
      <c r="AH37" s="45">
        <v>30.021154200000002</v>
      </c>
      <c r="AI37" s="23">
        <v>11760.938260000001</v>
      </c>
      <c r="AJ37" s="23">
        <v>110.003953</v>
      </c>
      <c r="AL37" s="76"/>
      <c r="AM37" s="76"/>
      <c r="AN37" s="76"/>
      <c r="AO37" s="76"/>
      <c r="AP37" s="76"/>
      <c r="AQ37" s="76"/>
      <c r="AR37" s="76"/>
    </row>
    <row r="38" spans="1:44" outlineLevel="1" x14ac:dyDescent="0.3">
      <c r="A38" s="33"/>
      <c r="B38" s="33" t="s">
        <v>32</v>
      </c>
      <c r="C38" s="35" t="s">
        <v>375</v>
      </c>
      <c r="D38" s="33">
        <v>9000000</v>
      </c>
      <c r="E38" s="34">
        <v>12</v>
      </c>
      <c r="F38" s="35">
        <v>32</v>
      </c>
      <c r="G38" s="35">
        <v>30</v>
      </c>
      <c r="H38" s="35">
        <v>8</v>
      </c>
      <c r="J38" s="36">
        <f t="shared" si="0"/>
        <v>7.6090499999999999</v>
      </c>
      <c r="K38" s="37">
        <f t="shared" si="1"/>
        <v>0.90181333333333336</v>
      </c>
      <c r="L38" s="46">
        <v>959238</v>
      </c>
      <c r="M38" s="38">
        <v>8116320</v>
      </c>
      <c r="N38" s="47">
        <v>478.51144199999999</v>
      </c>
      <c r="O38" s="47">
        <v>482.04691600000001</v>
      </c>
      <c r="P38" s="47">
        <v>30.741861499999999</v>
      </c>
      <c r="Q38" s="47">
        <v>38.976118200000002</v>
      </c>
      <c r="R38" s="47">
        <v>39.023943000000003</v>
      </c>
      <c r="S38" s="47">
        <v>470.15078099999999</v>
      </c>
      <c r="T38" s="47">
        <v>30.7237069</v>
      </c>
      <c r="U38" s="39">
        <v>5389.07881</v>
      </c>
      <c r="V38" s="39">
        <v>38.524685499999997</v>
      </c>
      <c r="X38" s="36">
        <f t="shared" si="2"/>
        <v>7.6114800000000002</v>
      </c>
      <c r="Y38" s="37">
        <f t="shared" si="3"/>
        <v>0.90210133333333331</v>
      </c>
      <c r="Z38" s="46">
        <v>959238</v>
      </c>
      <c r="AA38" s="38">
        <v>8118912</v>
      </c>
      <c r="AB38" s="47">
        <v>478.51144199999999</v>
      </c>
      <c r="AC38" s="47">
        <v>482.04691600000001</v>
      </c>
      <c r="AD38" s="47">
        <v>30.741861499999999</v>
      </c>
      <c r="AE38" s="47">
        <v>38.976118200000002</v>
      </c>
      <c r="AF38" s="47">
        <v>39.023943000000003</v>
      </c>
      <c r="AG38" s="47">
        <v>470.15078099999999</v>
      </c>
      <c r="AH38" s="47">
        <v>30.7237069</v>
      </c>
      <c r="AI38" s="39">
        <v>7795.3768069999996</v>
      </c>
      <c r="AJ38" s="39">
        <v>54.662705000000003</v>
      </c>
      <c r="AL38" s="77"/>
      <c r="AM38" s="77"/>
      <c r="AN38" s="77"/>
      <c r="AO38" s="77"/>
      <c r="AP38" s="77"/>
      <c r="AQ38" s="77"/>
      <c r="AR38" s="77"/>
    </row>
    <row r="39" spans="1:44" ht="15.75" customHeight="1" outlineLevel="1" thickBot="1" x14ac:dyDescent="0.35">
      <c r="A39" s="17"/>
      <c r="B39" s="48" t="s">
        <v>32</v>
      </c>
      <c r="C39" s="49" t="s">
        <v>376</v>
      </c>
      <c r="D39" s="48">
        <v>9000000</v>
      </c>
      <c r="E39" s="50">
        <v>12</v>
      </c>
      <c r="F39" s="49">
        <v>32</v>
      </c>
      <c r="G39" s="49">
        <v>30</v>
      </c>
      <c r="H39" s="49">
        <v>12</v>
      </c>
      <c r="J39" s="51">
        <f t="shared" si="0"/>
        <v>10.058325</v>
      </c>
      <c r="K39" s="52">
        <f t="shared" si="1"/>
        <v>1.1920977777777777</v>
      </c>
      <c r="L39" s="53">
        <v>959238</v>
      </c>
      <c r="M39" s="54">
        <v>10728880</v>
      </c>
      <c r="N39" s="55">
        <v>478.51144199999999</v>
      </c>
      <c r="O39" s="55">
        <v>482.04691600000001</v>
      </c>
      <c r="P39" s="55">
        <v>31.944708200000001</v>
      </c>
      <c r="Q39" s="55">
        <v>39.113047100000003</v>
      </c>
      <c r="R39" s="55">
        <v>39.333270800000001</v>
      </c>
      <c r="S39" s="55">
        <v>470.15078099999999</v>
      </c>
      <c r="T39" s="55">
        <v>31.924756299999999</v>
      </c>
      <c r="U39" s="56">
        <v>5698.3596200000002</v>
      </c>
      <c r="V39" s="56">
        <v>39.9404805</v>
      </c>
      <c r="X39" s="51">
        <f t="shared" si="2"/>
        <v>10.060755</v>
      </c>
      <c r="Y39" s="52">
        <f t="shared" si="3"/>
        <v>1.1923857777777778</v>
      </c>
      <c r="Z39" s="53">
        <v>959238</v>
      </c>
      <c r="AA39" s="54">
        <v>10731472</v>
      </c>
      <c r="AB39" s="55">
        <v>478.51144199999999</v>
      </c>
      <c r="AC39" s="55">
        <v>482.04691600000001</v>
      </c>
      <c r="AD39" s="55">
        <v>31.944708200000001</v>
      </c>
      <c r="AE39" s="55">
        <v>39.113047100000003</v>
      </c>
      <c r="AF39" s="55">
        <v>39.333270800000001</v>
      </c>
      <c r="AG39" s="55">
        <v>470.15078099999999</v>
      </c>
      <c r="AH39" s="55">
        <v>31.924756299999999</v>
      </c>
      <c r="AI39" s="56">
        <v>8145.0228090000001</v>
      </c>
      <c r="AJ39" s="56">
        <v>57.654955000000001</v>
      </c>
      <c r="AL39" s="78"/>
      <c r="AM39" s="78"/>
      <c r="AN39" s="78"/>
      <c r="AO39" s="78"/>
      <c r="AP39" s="78"/>
      <c r="AQ39" s="78"/>
      <c r="AR39" s="78"/>
    </row>
    <row r="40" spans="1:44" x14ac:dyDescent="0.3">
      <c r="A40" s="33"/>
      <c r="B40" s="33" t="s">
        <v>77</v>
      </c>
      <c r="C40" s="35" t="s">
        <v>372</v>
      </c>
      <c r="D40" s="33">
        <v>9000000</v>
      </c>
      <c r="E40" s="34">
        <v>12</v>
      </c>
      <c r="F40" s="35">
        <v>32</v>
      </c>
      <c r="G40" s="35">
        <v>30</v>
      </c>
      <c r="H40" s="35">
        <v>3</v>
      </c>
      <c r="J40" s="36">
        <f t="shared" si="0"/>
        <v>2.5097849999999999</v>
      </c>
      <c r="K40" s="37">
        <f t="shared" si="1"/>
        <v>0.297456</v>
      </c>
      <c r="L40" s="46">
        <v>3682048</v>
      </c>
      <c r="M40" s="38">
        <v>2677104</v>
      </c>
      <c r="N40" s="47">
        <v>73.686197800000002</v>
      </c>
      <c r="O40" s="47">
        <v>75.167036100000004</v>
      </c>
      <c r="P40" s="47">
        <v>32.828138799999998</v>
      </c>
      <c r="Q40" s="47">
        <v>42.3141909</v>
      </c>
      <c r="R40" s="47">
        <v>42.649406399999997</v>
      </c>
      <c r="S40" s="47">
        <v>48.916315900000001</v>
      </c>
      <c r="T40" s="47">
        <v>31.9807852</v>
      </c>
      <c r="U40" s="39">
        <v>2166.4478899999999</v>
      </c>
      <c r="V40" s="39">
        <v>10.7430504</v>
      </c>
      <c r="X40" s="36">
        <f t="shared" si="2"/>
        <v>2.5124624999999998</v>
      </c>
      <c r="Y40" s="37">
        <f t="shared" si="3"/>
        <v>0.29777333333333333</v>
      </c>
      <c r="Z40" s="46">
        <v>3682048</v>
      </c>
      <c r="AA40" s="38">
        <v>2679960</v>
      </c>
      <c r="AB40" s="47">
        <v>73.686197800000002</v>
      </c>
      <c r="AC40" s="47">
        <v>75.167036100000004</v>
      </c>
      <c r="AD40" s="47">
        <v>32.828138799999998</v>
      </c>
      <c r="AE40" s="47">
        <v>42.3141909</v>
      </c>
      <c r="AF40" s="47">
        <v>42.649406399999997</v>
      </c>
      <c r="AG40" s="47">
        <v>48.916315900000001</v>
      </c>
      <c r="AH40" s="47">
        <v>31.9807852</v>
      </c>
      <c r="AI40" s="39">
        <v>3225.2052789999998</v>
      </c>
      <c r="AJ40" s="39">
        <v>15.730636000000001</v>
      </c>
      <c r="AL40" s="77">
        <f t="array" ref="AL40">IF( OR(AND(ISBLANK(M40:M44)),AND(ISBLANK(AA40:AA44)), AND(ISBLANK(N40:N44)),AND(ISBLANK(AB40:AB44))), "·", bdRateExtend( M40:M44,N40:N44, AA40:AA44,AB40:AB44))</f>
        <v>4.3315197614557377E-4</v>
      </c>
      <c r="AM40" s="77">
        <f t="array" ref="AM40">IF( OR(AND(ISBLANK(M40:M44)),AND(ISBLANK(AA40:AA44)), AND(ISBLANK(O40:O44)),AND(ISBLANK(AC40:AC44))), "·", bdRateExtend( M40:M44,O40:O44, AA40:AA44,AC40:AC44))</f>
        <v>4.3375626703623382E-4</v>
      </c>
      <c r="AN40" s="77">
        <f t="array" ref="AN40">IF( OR(AND(ISBLANK(M40:M44)),AND(ISBLANK(AA40:AA44)), AND(ISBLANK(P40:P44)),AND(ISBLANK(AD40:AD44))), "·", bdRateExtend( M40:M44,P40:P44, AA40:AA44,AD40:AD44))</f>
        <v>5.2720169467934674E-4</v>
      </c>
      <c r="AO40" s="77">
        <f t="array" ref="AO40">IF( OR(AND(ISBLANK(M40:M44)),AND(ISBLANK(AA40:AA44)), AND(ISBLANK(Q40:Q44)),AND(ISBLANK(AE40:AE44))), "·", bdRateExtend( M40:M44,Q40:Q44, AA40:AA44,AE40:AE44))</f>
        <v>6.3261489021870787E-4</v>
      </c>
      <c r="AP40" s="77">
        <f t="array" ref="AP40">IF( OR(AND(ISBLANK(M40:M44)),AND(ISBLANK(AA40:AA44)), AND(ISBLANK(R40:R44)),AND(ISBLANK(AF40:AF44))), "·", bdRateExtend( M40:M44,R40:R44, AA40:AA44,AF40:AF44))</f>
        <v>5.804088885088543E-4</v>
      </c>
      <c r="AQ40" s="77">
        <f t="array" ref="AQ40">IF( OR(AND(ISBLANK(M40:M44)),AND(ISBLANK(AA40:AA44)), AND(ISBLANK(S40:S44)),AND(ISBLANK(AG40:AG44))), "·", bdRateExtend( M40:M44,S40:S44, AA40:AA44,AG40:AG44))</f>
        <v>4.3102547074380659E-4</v>
      </c>
      <c r="AR40" s="77">
        <f t="array" ref="AR40">IF( OR(AND(ISBLANK(M40:M44)),AND(ISBLANK(AA40:AA44)), AND(ISBLANK(T40:T44)),AND(ISBLANK(AH40:AH44))), "·", bdRateExtend( M40:M44,T40:T44, AA40:AA44,AH40:AH44))</f>
        <v>5.0556256840983416E-4</v>
      </c>
    </row>
    <row r="41" spans="1:44" outlineLevel="1" x14ac:dyDescent="0.3">
      <c r="A41" s="17"/>
      <c r="B41" s="17" t="s">
        <v>77</v>
      </c>
      <c r="C41" s="19" t="s">
        <v>373</v>
      </c>
      <c r="D41" s="17">
        <v>9000000</v>
      </c>
      <c r="E41" s="18">
        <v>12</v>
      </c>
      <c r="F41" s="19">
        <v>32</v>
      </c>
      <c r="G41" s="19">
        <v>30</v>
      </c>
      <c r="H41" s="19">
        <v>4</v>
      </c>
      <c r="J41" s="20">
        <f t="shared" si="0"/>
        <v>3.4086675</v>
      </c>
      <c r="K41" s="21">
        <f t="shared" si="1"/>
        <v>0.4039902222222222</v>
      </c>
      <c r="L41" s="44">
        <v>3682048</v>
      </c>
      <c r="M41" s="22">
        <v>3635912</v>
      </c>
      <c r="N41" s="45">
        <v>74.611770699999994</v>
      </c>
      <c r="O41" s="45">
        <v>76.198942400000007</v>
      </c>
      <c r="P41" s="45">
        <v>33.248608400000002</v>
      </c>
      <c r="Q41" s="45">
        <v>42.446950000000001</v>
      </c>
      <c r="R41" s="45">
        <v>42.876021100000003</v>
      </c>
      <c r="S41" s="45">
        <v>49.404679899999998</v>
      </c>
      <c r="T41" s="45">
        <v>32.335002000000003</v>
      </c>
      <c r="U41" s="23">
        <v>2239.1270399999999</v>
      </c>
      <c r="V41" s="23">
        <v>11.175032099999999</v>
      </c>
      <c r="X41" s="20">
        <f t="shared" si="2"/>
        <v>3.4115175</v>
      </c>
      <c r="Y41" s="21">
        <f t="shared" si="3"/>
        <v>0.40432800000000002</v>
      </c>
      <c r="Z41" s="44">
        <v>3682048</v>
      </c>
      <c r="AA41" s="22">
        <v>3638952</v>
      </c>
      <c r="AB41" s="45">
        <v>74.611770699999994</v>
      </c>
      <c r="AC41" s="45">
        <v>76.198942400000007</v>
      </c>
      <c r="AD41" s="45">
        <v>33.248608400000002</v>
      </c>
      <c r="AE41" s="45">
        <v>42.446950000000001</v>
      </c>
      <c r="AF41" s="45">
        <v>42.876021100000003</v>
      </c>
      <c r="AG41" s="45">
        <v>49.404679899999998</v>
      </c>
      <c r="AH41" s="45">
        <v>32.335002000000003</v>
      </c>
      <c r="AI41" s="23">
        <v>3240.0516670000002</v>
      </c>
      <c r="AJ41" s="23">
        <v>16.249164</v>
      </c>
      <c r="AL41" s="76"/>
      <c r="AM41" s="76"/>
      <c r="AN41" s="76"/>
      <c r="AO41" s="76"/>
      <c r="AP41" s="76"/>
      <c r="AQ41" s="76"/>
      <c r="AR41" s="76"/>
    </row>
    <row r="42" spans="1:44" outlineLevel="1" x14ac:dyDescent="0.3">
      <c r="A42" s="33"/>
      <c r="B42" s="33" t="s">
        <v>77</v>
      </c>
      <c r="C42" s="35" t="s">
        <v>374</v>
      </c>
      <c r="D42" s="33">
        <v>9000000</v>
      </c>
      <c r="E42" s="34">
        <v>12</v>
      </c>
      <c r="F42" s="35">
        <v>32</v>
      </c>
      <c r="G42" s="35">
        <v>30</v>
      </c>
      <c r="H42" s="35">
        <v>6</v>
      </c>
      <c r="J42" s="36">
        <f t="shared" si="0"/>
        <v>4.9076399999999998</v>
      </c>
      <c r="K42" s="37">
        <f t="shared" si="1"/>
        <v>0.58164622222222218</v>
      </c>
      <c r="L42" s="46">
        <v>3682048</v>
      </c>
      <c r="M42" s="38">
        <v>5234816</v>
      </c>
      <c r="N42" s="47">
        <v>76.877825299999998</v>
      </c>
      <c r="O42" s="47">
        <v>78.819125700000001</v>
      </c>
      <c r="P42" s="47">
        <v>33.885247800000002</v>
      </c>
      <c r="Q42" s="47">
        <v>42.714593600000001</v>
      </c>
      <c r="R42" s="47">
        <v>43.168756000000002</v>
      </c>
      <c r="S42" s="47">
        <v>50.6886996</v>
      </c>
      <c r="T42" s="47">
        <v>33.120274299999998</v>
      </c>
      <c r="U42" s="39">
        <v>6239.5654800000002</v>
      </c>
      <c r="V42" s="39">
        <v>39.278109000000001</v>
      </c>
      <c r="X42" s="36">
        <f t="shared" si="2"/>
        <v>4.9106025000000004</v>
      </c>
      <c r="Y42" s="37">
        <f t="shared" si="3"/>
        <v>0.58199733333333337</v>
      </c>
      <c r="Z42" s="46">
        <v>3682048</v>
      </c>
      <c r="AA42" s="38">
        <v>5237976</v>
      </c>
      <c r="AB42" s="47">
        <v>76.877825299999998</v>
      </c>
      <c r="AC42" s="47">
        <v>78.819125700000001</v>
      </c>
      <c r="AD42" s="47">
        <v>33.885247800000002</v>
      </c>
      <c r="AE42" s="47">
        <v>42.714593600000001</v>
      </c>
      <c r="AF42" s="47">
        <v>43.168756000000002</v>
      </c>
      <c r="AG42" s="47">
        <v>50.6886996</v>
      </c>
      <c r="AH42" s="47">
        <v>33.120274299999998</v>
      </c>
      <c r="AI42" s="39">
        <v>9057.1511599999994</v>
      </c>
      <c r="AJ42" s="39">
        <v>118.421595</v>
      </c>
      <c r="AL42" s="77"/>
      <c r="AM42" s="77"/>
      <c r="AN42" s="77"/>
      <c r="AO42" s="77"/>
      <c r="AP42" s="77"/>
      <c r="AQ42" s="77"/>
      <c r="AR42" s="77"/>
    </row>
    <row r="43" spans="1:44" outlineLevel="1" x14ac:dyDescent="0.3">
      <c r="A43" s="17"/>
      <c r="B43" s="17" t="s">
        <v>77</v>
      </c>
      <c r="C43" s="19" t="s">
        <v>375</v>
      </c>
      <c r="D43" s="17">
        <v>9000000</v>
      </c>
      <c r="E43" s="18">
        <v>12</v>
      </c>
      <c r="F43" s="19">
        <v>32</v>
      </c>
      <c r="G43" s="19">
        <v>30</v>
      </c>
      <c r="H43" s="19">
        <v>8</v>
      </c>
      <c r="J43" s="20">
        <f t="shared" si="0"/>
        <v>6.8180699999999996</v>
      </c>
      <c r="K43" s="21">
        <f t="shared" si="1"/>
        <v>0.80806755555555554</v>
      </c>
      <c r="L43" s="44">
        <v>959624</v>
      </c>
      <c r="M43" s="22">
        <v>7272608</v>
      </c>
      <c r="N43" s="45">
        <v>479.66687100000001</v>
      </c>
      <c r="O43" s="45">
        <v>484.07664399999999</v>
      </c>
      <c r="P43" s="45">
        <v>33.891296699999998</v>
      </c>
      <c r="Q43" s="45">
        <v>42.711116500000003</v>
      </c>
      <c r="R43" s="45">
        <v>43.214067399999998</v>
      </c>
      <c r="S43" s="45">
        <v>480.41473100000002</v>
      </c>
      <c r="T43" s="45">
        <v>33.8830569</v>
      </c>
      <c r="U43" s="23">
        <v>4855.9880700000003</v>
      </c>
      <c r="V43" s="23">
        <v>38.129107300000001</v>
      </c>
      <c r="X43" s="20">
        <f t="shared" si="2"/>
        <v>6.8204925000000003</v>
      </c>
      <c r="Y43" s="21">
        <f t="shared" si="3"/>
        <v>0.80835466666666667</v>
      </c>
      <c r="Z43" s="44">
        <v>959624</v>
      </c>
      <c r="AA43" s="22">
        <v>7275192</v>
      </c>
      <c r="AB43" s="45">
        <v>479.66687100000001</v>
      </c>
      <c r="AC43" s="45">
        <v>484.07664399999999</v>
      </c>
      <c r="AD43" s="45">
        <v>33.891296699999998</v>
      </c>
      <c r="AE43" s="45">
        <v>42.711116500000003</v>
      </c>
      <c r="AF43" s="45">
        <v>43.214067399999998</v>
      </c>
      <c r="AG43" s="45">
        <v>480.41473100000002</v>
      </c>
      <c r="AH43" s="45">
        <v>33.8830569</v>
      </c>
      <c r="AI43" s="23">
        <v>6979.4823340000003</v>
      </c>
      <c r="AJ43" s="23">
        <v>57.146673999999997</v>
      </c>
      <c r="AL43" s="76"/>
      <c r="AM43" s="76"/>
      <c r="AN43" s="76"/>
      <c r="AO43" s="76"/>
      <c r="AP43" s="76"/>
      <c r="AQ43" s="76"/>
      <c r="AR43" s="76"/>
    </row>
    <row r="44" spans="1:44" ht="15.75" customHeight="1" outlineLevel="1" thickBot="1" x14ac:dyDescent="0.35">
      <c r="A44" s="25"/>
      <c r="B44" s="25" t="s">
        <v>77</v>
      </c>
      <c r="C44" s="27" t="s">
        <v>376</v>
      </c>
      <c r="D44" s="25">
        <v>9000000</v>
      </c>
      <c r="E44" s="26">
        <v>12</v>
      </c>
      <c r="F44" s="27">
        <v>32</v>
      </c>
      <c r="G44" s="27">
        <v>30</v>
      </c>
      <c r="H44" s="27">
        <v>12</v>
      </c>
      <c r="J44" s="28">
        <f t="shared" si="0"/>
        <v>9.5476875000000003</v>
      </c>
      <c r="K44" s="29">
        <f t="shared" si="1"/>
        <v>1.1315777777777778</v>
      </c>
      <c r="L44" s="57">
        <v>959624</v>
      </c>
      <c r="M44" s="30">
        <v>10184200</v>
      </c>
      <c r="N44" s="58">
        <v>479.66687100000001</v>
      </c>
      <c r="O44" s="58">
        <v>484.07664399999999</v>
      </c>
      <c r="P44" s="58">
        <v>35.177263400000001</v>
      </c>
      <c r="Q44" s="58">
        <v>42.981297400000003</v>
      </c>
      <c r="R44" s="58">
        <v>43.630545599999998</v>
      </c>
      <c r="S44" s="58">
        <v>480.41473100000002</v>
      </c>
      <c r="T44" s="58">
        <v>35.161452500000003</v>
      </c>
      <c r="U44" s="31">
        <v>5171.5566799999997</v>
      </c>
      <c r="V44" s="31">
        <v>37.677764000000003</v>
      </c>
      <c r="X44" s="28">
        <f t="shared" si="2"/>
        <v>9.5501100000000001</v>
      </c>
      <c r="Y44" s="29">
        <f t="shared" si="3"/>
        <v>1.1318648888888889</v>
      </c>
      <c r="Z44" s="57">
        <v>959624</v>
      </c>
      <c r="AA44" s="30">
        <v>10186784</v>
      </c>
      <c r="AB44" s="58">
        <v>479.66687100000001</v>
      </c>
      <c r="AC44" s="58">
        <v>484.07664399999999</v>
      </c>
      <c r="AD44" s="58">
        <v>35.177263400000001</v>
      </c>
      <c r="AE44" s="58">
        <v>42.981297400000003</v>
      </c>
      <c r="AF44" s="58">
        <v>43.630545599999998</v>
      </c>
      <c r="AG44" s="58">
        <v>480.41473100000002</v>
      </c>
      <c r="AH44" s="58">
        <v>35.161452500000003</v>
      </c>
      <c r="AI44" s="31">
        <v>7481.0550359999997</v>
      </c>
      <c r="AJ44" s="31">
        <v>57.664296999999998</v>
      </c>
      <c r="AL44" s="79"/>
      <c r="AM44" s="79"/>
      <c r="AN44" s="79"/>
      <c r="AO44" s="79"/>
      <c r="AP44" s="79"/>
      <c r="AQ44" s="79"/>
      <c r="AR44" s="79"/>
    </row>
    <row r="45" spans="1:44" x14ac:dyDescent="0.3">
      <c r="B45" s="41" t="s">
        <v>7</v>
      </c>
      <c r="K45" s="42">
        <f>AVERAGE(K5:K14)</f>
        <v>0.93849297728463532</v>
      </c>
      <c r="Y45" s="42">
        <f>AVERAGE(Y5:Y14)</f>
        <v>0.93884756073591991</v>
      </c>
      <c r="AL45" s="80">
        <f t="shared" ref="AL45:AR45" si="4">AVERAGE(AL5:AL14)</f>
        <v>6.8572386489662573E-4</v>
      </c>
      <c r="AM45" s="80">
        <f t="shared" si="4"/>
        <v>6.864351719741979E-4</v>
      </c>
      <c r="AN45" s="80">
        <f t="shared" si="4"/>
        <v>5.554102852145526E-4</v>
      </c>
      <c r="AO45" s="80">
        <f t="shared" si="4"/>
        <v>4.9301807667123665E-4</v>
      </c>
      <c r="AP45" s="80">
        <f t="shared" si="4"/>
        <v>5.0740889737976858E-4</v>
      </c>
      <c r="AQ45" s="80">
        <f t="shared" si="4"/>
        <v>6.8697263678296761E-4</v>
      </c>
      <c r="AR45" s="80">
        <f t="shared" si="4"/>
        <v>6.2780100431802932E-4</v>
      </c>
    </row>
    <row r="46" spans="1:44" x14ac:dyDescent="0.3">
      <c r="B46" s="41" t="s">
        <v>8</v>
      </c>
      <c r="K46" s="42">
        <f>AVERAGE(K15:K24)</f>
        <v>0.99655413534297765</v>
      </c>
      <c r="Y46" s="42">
        <f>AVERAGE(Y15:Y24)</f>
        <v>0.99681713424134044</v>
      </c>
      <c r="AL46" s="80">
        <f t="shared" ref="AL46:AR46" si="5">AVERAGE(AL15:AL24)</f>
        <v>1.3755403118820286E-4</v>
      </c>
      <c r="AM46" s="80">
        <f t="shared" si="5"/>
        <v>1.3793078853374663E-4</v>
      </c>
      <c r="AN46" s="80">
        <f t="shared" si="5"/>
        <v>5.3798014850825471E-4</v>
      </c>
      <c r="AO46" s="80">
        <f t="shared" si="5"/>
        <v>4.885764235589285E-4</v>
      </c>
      <c r="AP46" s="80">
        <f t="shared" si="5"/>
        <v>4.9620044017084641E-4</v>
      </c>
      <c r="AQ46" s="80">
        <f t="shared" si="5"/>
        <v>1.3621536418351177E-4</v>
      </c>
      <c r="AR46" s="80">
        <f t="shared" si="5"/>
        <v>3.5140839458358553E-4</v>
      </c>
    </row>
    <row r="47" spans="1:44" x14ac:dyDescent="0.3">
      <c r="B47" s="41" t="s">
        <v>9</v>
      </c>
      <c r="K47" s="42">
        <f>AVERAGE(K25:K44)</f>
        <v>1.0729328364141713</v>
      </c>
      <c r="Y47" s="42">
        <f>AVERAGE(Y25:Y44)</f>
        <v>1.0733052959476488</v>
      </c>
      <c r="AL47" s="80">
        <f t="shared" ref="AL47:AR47" si="6">AVERAGE(AL25:AL44)</f>
        <v>3.8703992902583417E-4</v>
      </c>
      <c r="AM47" s="80">
        <f t="shared" si="6"/>
        <v>3.8242125799581306E-4</v>
      </c>
      <c r="AN47" s="80">
        <f t="shared" si="6"/>
        <v>4.6789483724268832E-4</v>
      </c>
      <c r="AO47" s="80">
        <f t="shared" si="6"/>
        <v>5.1371212319933912E-4</v>
      </c>
      <c r="AP47" s="80">
        <f t="shared" si="6"/>
        <v>4.8409195840071195E-4</v>
      </c>
      <c r="AQ47" s="80">
        <f t="shared" si="6"/>
        <v>3.7124809062238917E-4</v>
      </c>
      <c r="AR47" s="80">
        <f t="shared" si="6"/>
        <v>4.1737551338977275E-4</v>
      </c>
    </row>
    <row r="48" spans="1:44" x14ac:dyDescent="0.3">
      <c r="B48" s="41" t="s">
        <v>10</v>
      </c>
      <c r="K48" s="42">
        <f>AVERAGE(K5:K44)</f>
        <v>1.0202281963639888</v>
      </c>
      <c r="Y48" s="42">
        <f>AVERAGE(Y5:Y44)</f>
        <v>1.0205688217181395</v>
      </c>
      <c r="AL48" s="80">
        <f t="shared" ref="AL48:AR48" si="7">AVERAGE(AL5:AL44)</f>
        <v>3.9933943853412424E-4</v>
      </c>
      <c r="AM48" s="80">
        <f t="shared" si="7"/>
        <v>3.9730211912489266E-4</v>
      </c>
      <c r="AN48" s="80">
        <f t="shared" si="7"/>
        <v>5.0729502705204599E-4</v>
      </c>
      <c r="AO48" s="80">
        <f t="shared" si="7"/>
        <v>5.0225468665721085E-4</v>
      </c>
      <c r="AP48" s="80">
        <f t="shared" si="7"/>
        <v>4.9294831358800972E-4</v>
      </c>
      <c r="AQ48" s="80">
        <f t="shared" si="7"/>
        <v>3.9142104555281443E-4</v>
      </c>
      <c r="AR48" s="80">
        <f t="shared" si="7"/>
        <v>4.5349010642029008E-4</v>
      </c>
    </row>
    <row r="49" spans="1:36" x14ac:dyDescent="0.3">
      <c r="A49" s="41" t="s">
        <v>178</v>
      </c>
      <c r="B49" s="41" t="s">
        <v>179</v>
      </c>
      <c r="U49" s="43">
        <f>SUM(U5:U14,U15:U24,U25:U44)</f>
        <v>140369.47569000005</v>
      </c>
      <c r="V49" s="43">
        <f>SUM(V5:V14,V15:V24,V25:V44)</f>
        <v>966.73512210000001</v>
      </c>
      <c r="AI49" s="43">
        <f>SUM(AI5:AI14,AI15:AI24,AI25:AI44)</f>
        <v>213146.79453199997</v>
      </c>
      <c r="AJ49" s="43">
        <f>SUM(AJ5:AJ14,AJ15:AJ24,AJ25:AJ44)</f>
        <v>1767.2884710000001</v>
      </c>
    </row>
    <row r="50" spans="1:36" x14ac:dyDescent="0.3">
      <c r="B50" s="41" t="s">
        <v>180</v>
      </c>
      <c r="AI50" s="8">
        <f>AI49/U49</f>
        <v>1.5184696921054652</v>
      </c>
      <c r="AJ50" s="8">
        <f>AJ49/V49</f>
        <v>1.8280999940924769</v>
      </c>
    </row>
  </sheetData>
  <mergeCells count="29">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Rajan Joshi</cp:lastModifiedBy>
  <dcterms:created xsi:type="dcterms:W3CDTF">2021-10-29T10:34:58Z</dcterms:created>
  <dcterms:modified xsi:type="dcterms:W3CDTF">2023-05-04T04:25:31Z</dcterms:modified>
</cp:coreProperties>
</file>