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1" defaultThemeVersion="124226"/>
  <mc:AlternateContent xmlns:mc="http://schemas.openxmlformats.org/markup-compatibility/2006">
    <mc:Choice Requires="x15">
      <x15ac:absPath xmlns:x15ac="http://schemas.microsoft.com/office/spreadsheetml/2010/11/ac" url="C:\Users\1000314552\Documents\MPEG\MEETINGS\143\mpeg-vmesh-tm_orthoAtlas\scripts\results\"/>
    </mc:Choice>
  </mc:AlternateContent>
  <xr:revisionPtr revIDLastSave="0" documentId="13_ncr:1_{85988B40-39AF-435F-9709-F39CC09B81BE}" xr6:coauthVersionLast="47" xr6:coauthVersionMax="47" xr10:uidLastSave="{00000000-0000-0000-0000-000000000000}"/>
  <bookViews>
    <workbookView xWindow="-120" yWindow="-16320" windowWidth="29040" windowHeight="15840" activeTab="1" xr2:uid="{00000000-000D-0000-FFFF-FFFF00000000}"/>
  </bookViews>
  <sheets>
    <sheet name="Summary" sheetId="1" r:id="rId1"/>
    <sheet name="Graphs" sheetId="2" r:id="rId2"/>
    <sheet name="C0 lossless AI" sheetId="3" r:id="rId3"/>
    <sheet name="names" sheetId="4" state="hidden" r:id="rId4"/>
    <sheet name="C1 lossy AI" sheetId="5" r:id="rId5"/>
    <sheet name="C2 lossy RA" sheetId="6" r:id="rId6"/>
  </sheets>
  <functionGroups builtInGroupCount="19"/>
  <definedNames>
    <definedName name="all_cols" localSheetId="1">Graphs!$I$2:$I$49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 name="graph_g_A_title" localSheetId="1">INDIRECT(VLOOKUP("name.A."&amp;Graphs!$B$1,names!$A:$B,2,0))</definedName>
    <definedName name="graph_g_B_title" localSheetId="1">INDIRECT(VLOOKUP("name.B."&amp;Graphs!$B$1,names!$A:$B,2,0))</definedName>
    <definedName name="graph_g_title" localSheetId="1">CONCATENATE(Graphs!graph_g_y_title, " (Graph g)")</definedName>
    <definedName name="graph_g_x_range_A" localSheetId="1">IF(ISREF(Graphs!graph_g_x_range_A_),Graphs!graph_g_x_range_A_,{0})</definedName>
    <definedName name="graph_g_x_range_A_" localSheetId="1">INDEX(INDIRECT(VLOOKUP("range." &amp; Graphs!$B$1 &amp;"."&amp; Graphs!$B$2, names!$A:$B,2,0)), 0, VLOOKUP("col."&amp; Graphs!$B$1 &amp;".A."&amp; Graphs!$B$10, names!$A:$B,2,0))</definedName>
    <definedName name="graph_g_x_range_B" localSheetId="1">IF(ISREF(Graphs!graph_g_x_range_B_),Graphs!graph_g_x_range_B_,{0})</definedName>
    <definedName name="graph_g_x_range_B_" localSheetId="1">INDEX(INDIRECT(VLOOKUP("range." &amp; Graphs!$B$1 &amp;"."&amp; Graphs!$B$2, names!$A:$B,2,0)), 0, VLOOKUP("col."&amp; Graphs!$B$1 &amp;".B."&amp; Graphs!$B$10, names!$A:$B,2,0))</definedName>
    <definedName name="graph_g_x_title" localSheetId="1">OFFSET(Graphs!all_cols, MATCH(Graphs!$B$10, Graphs!all_cols, 0)-1,1,1,1)</definedName>
    <definedName name="graph_g_y_range_A" localSheetId="1">IF(ISREF(Graphs!graph_g_y_range_A_),Graphs!graph_g_y_range_A_,{0})</definedName>
    <definedName name="graph_g_y_range_A_" localSheetId="1">INDEX(INDIRECT(VLOOKUP("range." &amp; Graphs!$B$1 &amp;"."&amp; Graphs!$B$2, names!$A:$B,2,0)), 0, VLOOKUP("col."&amp; Graphs!$B$1 &amp;".A."&amp; Graphs!$D$10, names!$A:$B,2,0))</definedName>
    <definedName name="graph_g_y_range_B" localSheetId="1">IF(ISREF(Graphs!graph_g_y_range_B_),Graphs!graph_g_y_range_B_,{0})</definedName>
    <definedName name="graph_g_y_range_B_" localSheetId="1">INDEX(INDIRECT(VLOOKUP("range." &amp; Graphs!$B$1 &amp;"."&amp; Graphs!$B$2, names!$A:$B,2,0)), 0, VLOOKUP("col."&amp; Graphs!$B$1 &amp;".B."&amp; Graphs!$D$10, names!$A:$B,2,0))</definedName>
    <definedName name="graph_g_y_title" localSheetId="1">OFFSET(Graphs!all_cols, MATCH(Graphs!$D$10,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49" i="6" l="1"/>
  <c r="AI49" i="6"/>
  <c r="AI50" i="6" s="1"/>
  <c r="C35" i="1" s="1"/>
  <c r="V49" i="6"/>
  <c r="U49" i="6"/>
  <c r="Y44" i="6"/>
  <c r="X44" i="6"/>
  <c r="K44" i="6"/>
  <c r="J44" i="6"/>
  <c r="Y43" i="6"/>
  <c r="X43" i="6"/>
  <c r="K43" i="6"/>
  <c r="J43" i="6"/>
  <c r="Y42" i="6"/>
  <c r="X42" i="6"/>
  <c r="K42" i="6"/>
  <c r="J42" i="6"/>
  <c r="Y41" i="6"/>
  <c r="X41" i="6"/>
  <c r="K41" i="6"/>
  <c r="J41" i="6"/>
  <c r="Y40" i="6"/>
  <c r="X40" i="6"/>
  <c r="K40" i="6"/>
  <c r="J40" i="6"/>
  <c r="Y39" i="6"/>
  <c r="X39" i="6"/>
  <c r="K39" i="6"/>
  <c r="J39" i="6"/>
  <c r="Y38" i="6"/>
  <c r="X38" i="6"/>
  <c r="K38" i="6"/>
  <c r="J38" i="6"/>
  <c r="Y37" i="6"/>
  <c r="X37" i="6"/>
  <c r="K37" i="6"/>
  <c r="J37" i="6"/>
  <c r="Y36" i="6"/>
  <c r="X36" i="6"/>
  <c r="K36" i="6"/>
  <c r="J36" i="6"/>
  <c r="Y35" i="6"/>
  <c r="X35" i="6"/>
  <c r="K35" i="6"/>
  <c r="J35" i="6"/>
  <c r="Y34" i="6"/>
  <c r="X34" i="6"/>
  <c r="K34" i="6"/>
  <c r="J34" i="6"/>
  <c r="Y33" i="6"/>
  <c r="X33" i="6"/>
  <c r="K33" i="6"/>
  <c r="J33" i="6"/>
  <c r="Y32" i="6"/>
  <c r="X32" i="6"/>
  <c r="K32" i="6"/>
  <c r="J32" i="6"/>
  <c r="Y31" i="6"/>
  <c r="X31" i="6"/>
  <c r="K31" i="6"/>
  <c r="J31" i="6"/>
  <c r="Y30" i="6"/>
  <c r="X30" i="6"/>
  <c r="K30" i="6"/>
  <c r="J30" i="6"/>
  <c r="Y29" i="6"/>
  <c r="X29" i="6"/>
  <c r="K29" i="6"/>
  <c r="J29" i="6"/>
  <c r="Y28" i="6"/>
  <c r="X28" i="6"/>
  <c r="K28" i="6"/>
  <c r="J28" i="6"/>
  <c r="Y27" i="6"/>
  <c r="X27" i="6"/>
  <c r="K27" i="6"/>
  <c r="J27" i="6"/>
  <c r="Y26" i="6"/>
  <c r="X26" i="6"/>
  <c r="K26" i="6"/>
  <c r="J26" i="6"/>
  <c r="Y25" i="6"/>
  <c r="Y47" i="6" s="1"/>
  <c r="X25" i="6"/>
  <c r="K25" i="6"/>
  <c r="K47" i="6" s="1"/>
  <c r="J25" i="6"/>
  <c r="Y24" i="6"/>
  <c r="X24" i="6"/>
  <c r="K24" i="6"/>
  <c r="J24" i="6"/>
  <c r="Y23" i="6"/>
  <c r="X23" i="6"/>
  <c r="K23" i="6"/>
  <c r="J23" i="6"/>
  <c r="Y22" i="6"/>
  <c r="X22" i="6"/>
  <c r="K22" i="6"/>
  <c r="J22" i="6"/>
  <c r="Y21" i="6"/>
  <c r="X21" i="6"/>
  <c r="K21" i="6"/>
  <c r="J21" i="6"/>
  <c r="Y20" i="6"/>
  <c r="X20" i="6"/>
  <c r="K20" i="6"/>
  <c r="J20" i="6"/>
  <c r="Y19" i="6"/>
  <c r="X19" i="6"/>
  <c r="K19" i="6"/>
  <c r="J19" i="6"/>
  <c r="Y18" i="6"/>
  <c r="X18" i="6"/>
  <c r="K18" i="6"/>
  <c r="J18" i="6"/>
  <c r="Y17" i="6"/>
  <c r="X17" i="6"/>
  <c r="K17" i="6"/>
  <c r="J17" i="6"/>
  <c r="Y16" i="6"/>
  <c r="X16" i="6"/>
  <c r="K16" i="6"/>
  <c r="J16" i="6"/>
  <c r="Y15" i="6"/>
  <c r="Y46" i="6" s="1"/>
  <c r="X15" i="6"/>
  <c r="K15" i="6"/>
  <c r="K46" i="6" s="1"/>
  <c r="J15" i="6"/>
  <c r="Y14" i="6"/>
  <c r="X14" i="6"/>
  <c r="K14" i="6"/>
  <c r="J14" i="6"/>
  <c r="Y13" i="6"/>
  <c r="X13" i="6"/>
  <c r="K13" i="6"/>
  <c r="J13" i="6"/>
  <c r="Y12" i="6"/>
  <c r="X12" i="6"/>
  <c r="K12" i="6"/>
  <c r="J12" i="6"/>
  <c r="Y11" i="6"/>
  <c r="X11" i="6"/>
  <c r="K11" i="6"/>
  <c r="J11" i="6"/>
  <c r="Y10" i="6"/>
  <c r="X10" i="6"/>
  <c r="K10" i="6"/>
  <c r="J10" i="6"/>
  <c r="Y9" i="6"/>
  <c r="X9" i="6"/>
  <c r="K9" i="6"/>
  <c r="J9" i="6"/>
  <c r="Y8" i="6"/>
  <c r="X8" i="6"/>
  <c r="K8" i="6"/>
  <c r="J8" i="6"/>
  <c r="Y7" i="6"/>
  <c r="X7" i="6"/>
  <c r="K7" i="6"/>
  <c r="J7" i="6"/>
  <c r="Y6" i="6"/>
  <c r="X6" i="6"/>
  <c r="K6" i="6"/>
  <c r="J6" i="6"/>
  <c r="Y5" i="6"/>
  <c r="Y45" i="6" s="1"/>
  <c r="X5" i="6"/>
  <c r="K5" i="6"/>
  <c r="J5" i="6"/>
  <c r="X1" i="6"/>
  <c r="J1" i="6"/>
  <c r="AJ49" i="5"/>
  <c r="AI49" i="5"/>
  <c r="V49" i="5"/>
  <c r="U49" i="5"/>
  <c r="Y44" i="5"/>
  <c r="X44" i="5"/>
  <c r="K44" i="5"/>
  <c r="J44" i="5"/>
  <c r="Y43" i="5"/>
  <c r="X43" i="5"/>
  <c r="K43" i="5"/>
  <c r="J43" i="5"/>
  <c r="Y42" i="5"/>
  <c r="X42" i="5"/>
  <c r="K42" i="5"/>
  <c r="J42" i="5"/>
  <c r="Y41" i="5"/>
  <c r="X41" i="5"/>
  <c r="K41" i="5"/>
  <c r="J41" i="5"/>
  <c r="Y40" i="5"/>
  <c r="X40" i="5"/>
  <c r="K40" i="5"/>
  <c r="J40" i="5"/>
  <c r="Y39" i="5"/>
  <c r="X39" i="5"/>
  <c r="K39" i="5"/>
  <c r="J39" i="5"/>
  <c r="Y38" i="5"/>
  <c r="X38" i="5"/>
  <c r="K38" i="5"/>
  <c r="J38" i="5"/>
  <c r="Y37" i="5"/>
  <c r="X37" i="5"/>
  <c r="K37" i="5"/>
  <c r="J37" i="5"/>
  <c r="Y36" i="5"/>
  <c r="X36" i="5"/>
  <c r="K36" i="5"/>
  <c r="J36" i="5"/>
  <c r="Y35" i="5"/>
  <c r="X35" i="5"/>
  <c r="K35" i="5"/>
  <c r="J35" i="5"/>
  <c r="Y34" i="5"/>
  <c r="X34" i="5"/>
  <c r="K34" i="5"/>
  <c r="J34" i="5"/>
  <c r="Y33" i="5"/>
  <c r="X33" i="5"/>
  <c r="K33" i="5"/>
  <c r="J33" i="5"/>
  <c r="Y32" i="5"/>
  <c r="X32" i="5"/>
  <c r="K32" i="5"/>
  <c r="J32" i="5"/>
  <c r="Y31" i="5"/>
  <c r="X31" i="5"/>
  <c r="K31" i="5"/>
  <c r="J31" i="5"/>
  <c r="Y30" i="5"/>
  <c r="X30" i="5"/>
  <c r="K30" i="5"/>
  <c r="J30" i="5"/>
  <c r="Y29" i="5"/>
  <c r="X29" i="5"/>
  <c r="K29" i="5"/>
  <c r="J29" i="5"/>
  <c r="Y28" i="5"/>
  <c r="X28" i="5"/>
  <c r="K28" i="5"/>
  <c r="J28" i="5"/>
  <c r="Y27" i="5"/>
  <c r="X27" i="5"/>
  <c r="K27" i="5"/>
  <c r="J27" i="5"/>
  <c r="Y26" i="5"/>
  <c r="X26" i="5"/>
  <c r="K26" i="5"/>
  <c r="J26" i="5"/>
  <c r="Y25" i="5"/>
  <c r="Y47" i="5" s="1"/>
  <c r="X25" i="5"/>
  <c r="K25" i="5"/>
  <c r="K47" i="5" s="1"/>
  <c r="J25" i="5"/>
  <c r="Y24" i="5"/>
  <c r="X24" i="5"/>
  <c r="K24" i="5"/>
  <c r="J24" i="5"/>
  <c r="Y23" i="5"/>
  <c r="X23" i="5"/>
  <c r="K23" i="5"/>
  <c r="J23" i="5"/>
  <c r="Y22" i="5"/>
  <c r="X22" i="5"/>
  <c r="K22" i="5"/>
  <c r="J22" i="5"/>
  <c r="Y21" i="5"/>
  <c r="X21" i="5"/>
  <c r="K21" i="5"/>
  <c r="J21" i="5"/>
  <c r="Y20" i="5"/>
  <c r="X20" i="5"/>
  <c r="K20" i="5"/>
  <c r="J20" i="5"/>
  <c r="Y19" i="5"/>
  <c r="X19" i="5"/>
  <c r="K19" i="5"/>
  <c r="J19" i="5"/>
  <c r="Y18" i="5"/>
  <c r="X18" i="5"/>
  <c r="K18" i="5"/>
  <c r="J18" i="5"/>
  <c r="Y17" i="5"/>
  <c r="X17" i="5"/>
  <c r="K17" i="5"/>
  <c r="J17" i="5"/>
  <c r="Y16" i="5"/>
  <c r="X16" i="5"/>
  <c r="K16" i="5"/>
  <c r="J16" i="5"/>
  <c r="Y15" i="5"/>
  <c r="Y46" i="5" s="1"/>
  <c r="X15" i="5"/>
  <c r="K15" i="5"/>
  <c r="J15" i="5"/>
  <c r="Y14" i="5"/>
  <c r="X14" i="5"/>
  <c r="K14" i="5"/>
  <c r="J14" i="5"/>
  <c r="Y13" i="5"/>
  <c r="X13" i="5"/>
  <c r="K13" i="5"/>
  <c r="J13" i="5"/>
  <c r="Y12" i="5"/>
  <c r="X12" i="5"/>
  <c r="K12" i="5"/>
  <c r="J12" i="5"/>
  <c r="Y11" i="5"/>
  <c r="X11" i="5"/>
  <c r="K11" i="5"/>
  <c r="J11" i="5"/>
  <c r="Y10" i="5"/>
  <c r="X10" i="5"/>
  <c r="K10" i="5"/>
  <c r="J10" i="5"/>
  <c r="Y9" i="5"/>
  <c r="X9" i="5"/>
  <c r="K9" i="5"/>
  <c r="J9" i="5"/>
  <c r="Y8" i="5"/>
  <c r="X8" i="5"/>
  <c r="K8" i="5"/>
  <c r="J8" i="5"/>
  <c r="Y7" i="5"/>
  <c r="X7" i="5"/>
  <c r="K7" i="5"/>
  <c r="J7" i="5"/>
  <c r="Y6" i="5"/>
  <c r="X6" i="5"/>
  <c r="K6" i="5"/>
  <c r="J6" i="5"/>
  <c r="Y5" i="5"/>
  <c r="Y48" i="5" s="1"/>
  <c r="X5" i="5"/>
  <c r="K5" i="5"/>
  <c r="J5" i="5"/>
  <c r="X1" i="5"/>
  <c r="J1" i="5"/>
  <c r="R17" i="3"/>
  <c r="Q17" i="3"/>
  <c r="L17" i="3"/>
  <c r="K17" i="3"/>
  <c r="O12" i="3"/>
  <c r="N12" i="3"/>
  <c r="I12" i="3"/>
  <c r="H12" i="3"/>
  <c r="O11" i="3"/>
  <c r="N11" i="3"/>
  <c r="I11" i="3"/>
  <c r="H11" i="3"/>
  <c r="O10" i="3"/>
  <c r="N10" i="3"/>
  <c r="I10" i="3"/>
  <c r="H10" i="3"/>
  <c r="O9" i="3"/>
  <c r="N9" i="3"/>
  <c r="I9" i="3"/>
  <c r="H9" i="3"/>
  <c r="O8" i="3"/>
  <c r="N8" i="3"/>
  <c r="I8" i="3"/>
  <c r="H8" i="3"/>
  <c r="O7" i="3"/>
  <c r="N7" i="3"/>
  <c r="I7" i="3"/>
  <c r="I14" i="3" s="1"/>
  <c r="H7" i="3"/>
  <c r="O6" i="3"/>
  <c r="N6" i="3"/>
  <c r="I6" i="3"/>
  <c r="H6" i="3"/>
  <c r="O5" i="3"/>
  <c r="O13" i="3" s="1"/>
  <c r="N5" i="3"/>
  <c r="I5" i="3"/>
  <c r="I16" i="3" s="1"/>
  <c r="H5" i="3"/>
  <c r="N1" i="3"/>
  <c r="H1" i="3"/>
  <c r="AQ25" i="6" a="1"/>
  <c r="AR15" i="6" a="1"/>
  <c r="AR10" i="5" a="1"/>
  <c r="AR25" i="5" a="1"/>
  <c r="AM30" i="5" a="1"/>
  <c r="AL15" i="6" a="1"/>
  <c r="AO15" i="5" a="1"/>
  <c r="AQ25" i="5" a="1"/>
  <c r="AO30" i="6" a="1"/>
  <c r="AL10" i="5" a="1"/>
  <c r="AN35" i="5" a="1"/>
  <c r="AR35" i="6" a="1"/>
  <c r="AR25" i="6" a="1"/>
  <c r="AM25" i="5" a="1"/>
  <c r="AQ10" i="6" a="1"/>
  <c r="AN25" i="6" a="1"/>
  <c r="AQ15" i="5" a="1"/>
  <c r="AL10" i="6" a="1"/>
  <c r="AQ20" i="6" a="1"/>
  <c r="AO10" i="5" a="1"/>
  <c r="AL40" i="5" a="1"/>
  <c r="AO35" i="5" a="1"/>
  <c r="AQ40" i="5" a="1"/>
  <c r="AN20" i="6" a="1"/>
  <c r="AM10" i="6" a="1"/>
  <c r="AP5" i="5" a="1"/>
  <c r="AL25" i="5" a="1"/>
  <c r="AO20" i="5" a="1"/>
  <c r="AL15" i="5" a="1"/>
  <c r="AN40" i="6" a="1"/>
  <c r="AN20" i="5" a="1"/>
  <c r="AO20" i="6" a="1"/>
  <c r="AL35" i="6" a="1"/>
  <c r="AQ30" i="5" a="1"/>
  <c r="AL25" i="6" a="1"/>
  <c r="AN10" i="6" a="1"/>
  <c r="AM20" i="5" a="1"/>
  <c r="AO5" i="5" a="1"/>
  <c r="AP20" i="6" a="1"/>
  <c r="AN25" i="5" a="1"/>
  <c r="AO30" i="5" a="1"/>
  <c r="AR20" i="6" a="1"/>
  <c r="AP15" i="6" a="1"/>
  <c r="AL20" i="5" a="1"/>
  <c r="AN15" i="5" a="1"/>
  <c r="AM15" i="5" a="1"/>
  <c r="AN40" i="5" a="1"/>
  <c r="AL5" i="6" a="1"/>
  <c r="AN15" i="6" a="1"/>
  <c r="AQ5" i="6" a="1"/>
  <c r="AR30" i="6" a="1"/>
  <c r="AP20" i="5" a="1"/>
  <c r="AN5" i="5" a="1"/>
  <c r="AO40" i="6" a="1"/>
  <c r="AM35" i="6" a="1"/>
  <c r="AR15" i="5" a="1"/>
  <c r="AO40" i="5" a="1"/>
  <c r="AP30" i="6" a="1"/>
  <c r="AL30" i="5" a="1"/>
  <c r="AO15" i="6" a="1"/>
  <c r="AM5" i="6" a="1"/>
  <c r="AR35" i="5" a="1"/>
  <c r="AO35" i="6" a="1"/>
  <c r="AR20" i="5" a="1"/>
  <c r="AL40" i="6" a="1"/>
  <c r="AM15" i="6" a="1"/>
  <c r="AM10" i="5" a="1"/>
  <c r="AN30" i="6" a="1"/>
  <c r="AR30" i="5" a="1"/>
  <c r="AR40" i="6" a="1"/>
  <c r="AP40" i="6" a="1"/>
  <c r="AM40" i="5" a="1"/>
  <c r="AL30" i="6" a="1"/>
  <c r="AQ10" i="5" a="1"/>
  <c r="AQ35" i="5" a="1"/>
  <c r="AN35" i="6" a="1"/>
  <c r="AQ30" i="6" a="1"/>
  <c r="AP10" i="5" a="1"/>
  <c r="AP30" i="5" a="1"/>
  <c r="AM25" i="6" a="1"/>
  <c r="AP25" i="5" a="1"/>
  <c r="AP40" i="5" a="1"/>
  <c r="AL35" i="5" a="1"/>
  <c r="AQ5" i="5" a="1"/>
  <c r="AQ40" i="6" a="1"/>
  <c r="AP35" i="6" a="1"/>
  <c r="AP35" i="5" a="1"/>
  <c r="AO25" i="6" a="1"/>
  <c r="AN5" i="6" a="1"/>
  <c r="AO25" i="5" a="1"/>
  <c r="AM30" i="6" a="1"/>
  <c r="AQ15" i="6" a="1"/>
  <c r="AM35" i="5" a="1"/>
  <c r="AP15" i="5" a="1"/>
  <c r="AM20" i="6" a="1"/>
  <c r="AR40" i="5" a="1"/>
  <c r="AR5" i="5" a="1"/>
  <c r="AM40" i="6" a="1"/>
  <c r="AQ35" i="6" a="1"/>
  <c r="AP25" i="6" a="1"/>
  <c r="AQ20" i="5" a="1"/>
  <c r="AP5" i="6" a="1"/>
  <c r="AP10" i="6" a="1"/>
  <c r="AN30" i="5" a="1"/>
  <c r="AL20" i="6" a="1"/>
  <c r="AO5" i="6" a="1"/>
  <c r="AN10" i="5" a="1"/>
  <c r="AR5" i="6" a="1"/>
  <c r="AO10" i="6" a="1"/>
  <c r="AM5" i="5" a="1"/>
  <c r="AL5" i="5" a="1"/>
  <c r="AR10" i="6" a="1"/>
  <c r="AJ50" i="6" l="1"/>
  <c r="C36" i="1" s="1"/>
  <c r="T6" i="3"/>
  <c r="T12" i="3"/>
  <c r="R18" i="3"/>
  <c r="C14" i="1" s="1"/>
  <c r="T11" i="3"/>
  <c r="K48" i="6"/>
  <c r="K45" i="6"/>
  <c r="K48" i="5"/>
  <c r="K45" i="5"/>
  <c r="AI50" i="5"/>
  <c r="C23" i="1" s="1"/>
  <c r="K46" i="5"/>
  <c r="AJ50" i="5"/>
  <c r="C24" i="1" s="1"/>
  <c r="T8" i="3"/>
  <c r="T10" i="3"/>
  <c r="I15" i="3"/>
  <c r="T7" i="3"/>
  <c r="T9" i="3"/>
  <c r="Q18" i="3"/>
  <c r="C13" i="1" s="1"/>
  <c r="AQ5" i="5"/>
  <c r="AR35" i="5"/>
  <c r="AM20" i="5"/>
  <c r="AM25" i="5"/>
  <c r="AL5" i="6"/>
  <c r="AR10" i="6"/>
  <c r="AL20" i="5"/>
  <c r="AN25" i="5"/>
  <c r="AL35" i="5"/>
  <c r="AM5" i="6"/>
  <c r="AN10" i="6"/>
  <c r="AR25" i="6"/>
  <c r="AR40" i="6"/>
  <c r="AL5" i="5"/>
  <c r="AP15" i="5"/>
  <c r="AO25" i="5"/>
  <c r="AP40" i="5"/>
  <c r="AO15" i="6"/>
  <c r="AL25" i="6"/>
  <c r="AR35" i="6"/>
  <c r="AM40" i="6"/>
  <c r="AM5" i="5"/>
  <c r="AO10" i="5"/>
  <c r="AQ15" i="5"/>
  <c r="AQ46" i="5" s="1"/>
  <c r="H20" i="1" s="1"/>
  <c r="AP25" i="5"/>
  <c r="AL30" i="5"/>
  <c r="AQ30" i="5"/>
  <c r="AN35" i="5"/>
  <c r="AQ40" i="5"/>
  <c r="AO10" i="6"/>
  <c r="AP15" i="6"/>
  <c r="AP20" i="6"/>
  <c r="AM25" i="6"/>
  <c r="AP30" i="6"/>
  <c r="AL35" i="6"/>
  <c r="AL10" i="5"/>
  <c r="AL45" i="5" s="1"/>
  <c r="C19" i="1" s="1"/>
  <c r="AN40" i="5"/>
  <c r="AR5" i="6"/>
  <c r="AM10" i="5"/>
  <c r="AR20" i="5"/>
  <c r="AP30" i="5"/>
  <c r="AO40" i="5"/>
  <c r="AO20" i="6"/>
  <c r="AO30" i="6"/>
  <c r="AR5" i="5"/>
  <c r="AN10" i="5"/>
  <c r="AM35" i="5"/>
  <c r="AN5" i="6"/>
  <c r="AP10" i="5"/>
  <c r="AR15" i="5"/>
  <c r="AN20" i="5"/>
  <c r="AQ25" i="5"/>
  <c r="AR30" i="5"/>
  <c r="AO5" i="6"/>
  <c r="AQ20" i="6"/>
  <c r="AN25" i="6"/>
  <c r="AQ30" i="6"/>
  <c r="AM35" i="6"/>
  <c r="AN40" i="6"/>
  <c r="AO15" i="5"/>
  <c r="AO46" i="5" s="1"/>
  <c r="F20" i="1" s="1"/>
  <c r="AO35" i="5"/>
  <c r="AL20" i="6"/>
  <c r="AR20" i="6"/>
  <c r="AO25" i="6"/>
  <c r="AN35" i="6"/>
  <c r="AO40" i="6"/>
  <c r="AL15" i="5"/>
  <c r="AL15" i="6"/>
  <c r="AL46" i="6" s="1"/>
  <c r="C32" i="1" s="1"/>
  <c r="AM15" i="5"/>
  <c r="AN30" i="5"/>
  <c r="AM15" i="6"/>
  <c r="AO35" i="6"/>
  <c r="AQ35" i="5"/>
  <c r="AN5" i="5"/>
  <c r="AN45" i="5" s="1"/>
  <c r="E19" i="1" s="1"/>
  <c r="AO20" i="5"/>
  <c r="AM30" i="5"/>
  <c r="AR40" i="5"/>
  <c r="AP10" i="6"/>
  <c r="AQ15" i="6"/>
  <c r="AQ46" i="6" s="1"/>
  <c r="H32" i="1" s="1"/>
  <c r="AO5" i="5"/>
  <c r="AO45" i="5" s="1"/>
  <c r="F19" i="1" s="1"/>
  <c r="AQ10" i="5"/>
  <c r="AP20" i="5"/>
  <c r="AL25" i="5"/>
  <c r="AR25" i="5"/>
  <c r="AL40" i="5"/>
  <c r="AP5" i="6"/>
  <c r="AP45" i="6" s="1"/>
  <c r="G31" i="1" s="1"/>
  <c r="AL10" i="6"/>
  <c r="AQ10" i="6"/>
  <c r="AL30" i="6"/>
  <c r="AR30" i="6"/>
  <c r="AP5" i="5"/>
  <c r="AR10" i="5"/>
  <c r="AN15" i="5"/>
  <c r="AQ20" i="5"/>
  <c r="AO30" i="5"/>
  <c r="AP35" i="5"/>
  <c r="AM40" i="5"/>
  <c r="AQ5" i="6"/>
  <c r="AM10" i="6"/>
  <c r="AR15" i="6"/>
  <c r="AM20" i="6"/>
  <c r="AP25" i="6"/>
  <c r="AM30" i="6"/>
  <c r="AP35" i="6"/>
  <c r="AP40" i="6"/>
  <c r="AN15" i="6"/>
  <c r="AN20" i="6"/>
  <c r="AQ25" i="6"/>
  <c r="AN30" i="6"/>
  <c r="AQ35" i="6"/>
  <c r="AL40" i="6"/>
  <c r="AQ40" i="6"/>
  <c r="AR45" i="6"/>
  <c r="I31" i="1" s="1"/>
  <c r="O16" i="3"/>
  <c r="T16" i="3" s="1"/>
  <c r="C12" i="1" s="1"/>
  <c r="O14" i="3"/>
  <c r="T14" i="3" s="1"/>
  <c r="C10" i="1" s="1"/>
  <c r="Y45" i="5"/>
  <c r="AO45" i="6"/>
  <c r="F31" i="1" s="1"/>
  <c r="Y48" i="6"/>
  <c r="T5" i="3"/>
  <c r="O15" i="3"/>
  <c r="AM45" i="5"/>
  <c r="D19" i="1" s="1"/>
  <c r="I13" i="3"/>
  <c r="T13" i="3" s="1"/>
  <c r="C9" i="1" s="1"/>
  <c r="AR48" i="6" l="1"/>
  <c r="I34" i="1" s="1"/>
  <c r="AR46" i="6"/>
  <c r="I32" i="1" s="1"/>
  <c r="AN46" i="6"/>
  <c r="E32" i="1" s="1"/>
  <c r="AQ45" i="6"/>
  <c r="H31" i="1" s="1"/>
  <c r="AO46" i="6"/>
  <c r="F32" i="1" s="1"/>
  <c r="AM48" i="6"/>
  <c r="D34" i="1" s="1"/>
  <c r="AM45" i="6"/>
  <c r="D31" i="1" s="1"/>
  <c r="AN46" i="5"/>
  <c r="E20" i="1" s="1"/>
  <c r="AM46" i="5"/>
  <c r="D20" i="1" s="1"/>
  <c r="AR45" i="5"/>
  <c r="I19" i="1" s="1"/>
  <c r="AL48" i="6"/>
  <c r="C34" i="1" s="1"/>
  <c r="AQ48" i="6"/>
  <c r="H34" i="1" s="1"/>
  <c r="AN48" i="6"/>
  <c r="E34" i="1" s="1"/>
  <c r="AR46" i="5"/>
  <c r="I20" i="1" s="1"/>
  <c r="AL48" i="5"/>
  <c r="C22" i="1" s="1"/>
  <c r="AP48" i="5"/>
  <c r="G22" i="1" s="1"/>
  <c r="AP45" i="5"/>
  <c r="G19" i="1" s="1"/>
  <c r="T15" i="3"/>
  <c r="C11" i="1" s="1"/>
  <c r="AO47" i="6"/>
  <c r="F33" i="1" s="1"/>
  <c r="AN47" i="5"/>
  <c r="E21" i="1" s="1"/>
  <c r="AM47" i="6"/>
  <c r="D33" i="1" s="1"/>
  <c r="AP47" i="5"/>
  <c r="G21" i="1" s="1"/>
  <c r="AQ48" i="5"/>
  <c r="H22" i="1" s="1"/>
  <c r="AN47" i="6"/>
  <c r="E33" i="1" s="1"/>
  <c r="AO47" i="5"/>
  <c r="F21" i="1" s="1"/>
  <c r="AN45" i="6"/>
  <c r="E31" i="1" s="1"/>
  <c r="AO48" i="5"/>
  <c r="F22" i="1" s="1"/>
  <c r="AM46" i="6"/>
  <c r="D32" i="1" s="1"/>
  <c r="AP46" i="6"/>
  <c r="G32" i="1" s="1"/>
  <c r="AP46" i="5"/>
  <c r="G20" i="1" s="1"/>
  <c r="AP47" i="6"/>
  <c r="G33" i="1" s="1"/>
  <c r="AP48" i="6"/>
  <c r="G34" i="1" s="1"/>
  <c r="AO48" i="6"/>
  <c r="F34" i="1" s="1"/>
  <c r="AM48" i="5"/>
  <c r="D22" i="1" s="1"/>
  <c r="AM47" i="5"/>
  <c r="D21" i="1" s="1"/>
  <c r="AN48" i="5"/>
  <c r="E22" i="1" s="1"/>
  <c r="AR48" i="5"/>
  <c r="I22" i="1" s="1"/>
  <c r="AL45" i="6"/>
  <c r="C31" i="1" s="1"/>
  <c r="AQ47" i="6"/>
  <c r="H33" i="1" s="1"/>
  <c r="AR47" i="5"/>
  <c r="I21" i="1" s="1"/>
  <c r="AQ47" i="5"/>
  <c r="H21" i="1" s="1"/>
  <c r="AR47" i="6"/>
  <c r="I33" i="1" s="1"/>
  <c r="AQ45" i="5"/>
  <c r="H19" i="1" s="1"/>
  <c r="AL47" i="5"/>
  <c r="C21" i="1" s="1"/>
  <c r="AL46" i="5"/>
  <c r="C20" i="1" s="1"/>
  <c r="AL47" i="6"/>
  <c r="C33" i="1" s="1"/>
</calcChain>
</file>

<file path=xl/sharedStrings.xml><?xml version="1.0" encoding="utf-8"?>
<sst xmlns="http://schemas.openxmlformats.org/spreadsheetml/2006/main" count="806" uniqueCount="378">
  <si>
    <t>Reference:</t>
  </si>
  <si>
    <t>Tested:</t>
  </si>
  <si>
    <t>All Intra</t>
  </si>
  <si>
    <t>C0_ai</t>
  </si>
  <si>
    <t>lossless geometry, lossless attributes [all intra]</t>
  </si>
  <si>
    <t>bpif ratio [%]</t>
  </si>
  <si>
    <t>Total</t>
  </si>
  <si>
    <t>Cat1-A average</t>
  </si>
  <si>
    <t>Cat1-B average</t>
  </si>
  <si>
    <t>Cat1-C average</t>
  </si>
  <si>
    <t>Overall average</t>
  </si>
  <si>
    <t>Avg. Enc Time [%]</t>
  </si>
  <si>
    <t>Avg. Dec Time [%]</t>
  </si>
  <si>
    <t>C1_ai</t>
  </si>
  <si>
    <t>lossy geometry, lossy attributes [all intra]</t>
  </si>
  <si>
    <t>Pointcloud-based BD‑Rate [%]</t>
  </si>
  <si>
    <t>Image-based BD‑Rate [%]</t>
  </si>
  <si>
    <t>D1</t>
  </si>
  <si>
    <t>D2</t>
  </si>
  <si>
    <t>Luma</t>
  </si>
  <si>
    <t>Chroma Cb</t>
  </si>
  <si>
    <t>Chroma Cr</t>
  </si>
  <si>
    <t>Geom</t>
  </si>
  <si>
    <t>Inter, Random Access</t>
  </si>
  <si>
    <t>C2_ra</t>
  </si>
  <si>
    <t>lossy geometry, lossy attributes [inter, random access]</t>
  </si>
  <si>
    <t>Condition:</t>
  </si>
  <si>
    <t>← Select this …</t>
  </si>
  <si>
    <t>Columns</t>
  </si>
  <si>
    <t>C1 lossy AI</t>
  </si>
  <si>
    <t>C2 lossy RA</t>
  </si>
  <si>
    <t>Sequence:</t>
  </si>
  <si>
    <t>mitch_voxelised</t>
  </si>
  <si>
    <t>← … then this</t>
  </si>
  <si>
    <t>dec.cb-hpsnr</t>
  </si>
  <si>
    <t>Chroma Cb EtE Hausdorff PSNR [dB]</t>
  </si>
  <si>
    <t>names!$B$79:$N$79</t>
  </si>
  <si>
    <t>names!$B$131:$N$131</t>
  </si>
  <si>
    <t>dec.cb-psnr</t>
  </si>
  <si>
    <t>Chroma Cb End-to-end PSNR [dB]</t>
  </si>
  <si>
    <t>longdress_voxelised</t>
  </si>
  <si>
    <t>X:</t>
  </si>
  <si>
    <t>eqn.bitrate</t>
  </si>
  <si>
    <t>Y:</t>
  </si>
  <si>
    <t>dec.pc-d1-psnr</t>
  </si>
  <si>
    <t>← settings for graph a</t>
  </si>
  <si>
    <t>dec.cr-hpsnr</t>
  </si>
  <si>
    <t>Chroma Cr EtE Hausdorff PSNR [dB]</t>
  </si>
  <si>
    <t>soldier_voxelised</t>
  </si>
  <si>
    <t>dec.pc-d2-psnr</t>
  </si>
  <si>
    <t>← settings for graph b</t>
  </si>
  <si>
    <t>dec.cr-psnr</t>
  </si>
  <si>
    <t>Chroma Cr End-to-end PSNR [dB]</t>
  </si>
  <si>
    <t>basketball_player_voxelised</t>
  </si>
  <si>
    <t>dec.img-geom-psnr</t>
  </si>
  <si>
    <t>← settings for graph c</t>
  </si>
  <si>
    <t>dec.d1-mse</t>
  </si>
  <si>
    <t>D1 Geometry MSE</t>
  </si>
  <si>
    <t>dancer_voxelised</t>
  </si>
  <si>
    <t>dec.pc-y-psnr</t>
  </si>
  <si>
    <t>← settings for graph d</t>
  </si>
  <si>
    <t>dec.d1-psnr</t>
  </si>
  <si>
    <t>D1 Geometry PSNR [dB]</t>
  </si>
  <si>
    <t>football_voxelised</t>
  </si>
  <si>
    <t>dec.pc-cb-psnr</t>
  </si>
  <si>
    <t>← settings for graph e</t>
  </si>
  <si>
    <t>dec.d2-mse</t>
  </si>
  <si>
    <t>D2 Geometry MSE</t>
  </si>
  <si>
    <t>levi_voxelised</t>
  </si>
  <si>
    <t>dec.pc-cr-psnr</t>
  </si>
  <si>
    <t>← settings for graph f</t>
  </si>
  <si>
    <t>dec.d2-psnr</t>
  </si>
  <si>
    <t>D2 Geometry PSNR [dB]</t>
  </si>
  <si>
    <t>dec.img-y-psnr</t>
  </si>
  <si>
    <t>← settings for graph g</t>
  </si>
  <si>
    <t>dec.geom-psnr</t>
  </si>
  <si>
    <t>Geo Geometry PSNR [dB]</t>
  </si>
  <si>
    <t>thomas_voxelised</t>
  </si>
  <si>
    <t>Geom Image-based PSNR [dB]</t>
  </si>
  <si>
    <t>Luma Image-based PSNR [dB]</t>
  </si>
  <si>
    <t>dec.numduppoints.mean</t>
  </si>
  <si>
    <t>Mean duplicate points</t>
  </si>
  <si>
    <t>dec.numfaces</t>
  </si>
  <si>
    <t>№ output faces</t>
  </si>
  <si>
    <t>dec.numpoints</t>
  </si>
  <si>
    <t>№ output points</t>
  </si>
  <si>
    <t>dec.numpoints.mean</t>
  </si>
  <si>
    <t>Mean output points</t>
  </si>
  <si>
    <t>Chroma Cb Pointcloud-based PSNR [dB]</t>
  </si>
  <si>
    <t>Chroma Cr Pointcloud-based PSNR [dB]</t>
  </si>
  <si>
    <t>D1 Pointcloud-based PSNR [dB]</t>
  </si>
  <si>
    <t>D2 Pointcloud-based PSNR [dB]</t>
  </si>
  <si>
    <t>Luma Pointcloud-based PSNR [dB]</t>
  </si>
  <si>
    <t>dec.post-recolour.cb-psnr</t>
  </si>
  <si>
    <t>Chroma Cb Post recolour PSNR [dB]</t>
  </si>
  <si>
    <t>dec.post-recolour.cr-psnr</t>
  </si>
  <si>
    <t>Chroma Cr Post recolour PSNR [dB]</t>
  </si>
  <si>
    <t>dec.post-recolour.y-psnr</t>
  </si>
  <si>
    <t>Luma Post recolour PSNR [dB]</t>
  </si>
  <si>
    <t>dec.reflectance-hpsnr</t>
  </si>
  <si>
    <t>Reflectance EtE Hausdorff PSNR [dB]</t>
  </si>
  <si>
    <t>dec.reflectance-psnr</t>
  </si>
  <si>
    <t>Reflectance End-to-end PSNR [dB]</t>
  </si>
  <si>
    <t>dec.utime</t>
  </si>
  <si>
    <t>User Decoder runtime [s]</t>
  </si>
  <si>
    <t>dec.utime.children</t>
  </si>
  <si>
    <t>Child Decoder runtime [s]</t>
  </si>
  <si>
    <t>dec.utime.self</t>
  </si>
  <si>
    <t>Self Decoder runtime [s]</t>
  </si>
  <si>
    <t>dec.y-hpsnr</t>
  </si>
  <si>
    <t>Luma EtE Hausdorff PSNR [dB]</t>
  </si>
  <si>
    <t>dec.y-psnr</t>
  </si>
  <si>
    <t>Luma End-to-end PSNR [dB]</t>
  </si>
  <si>
    <t>enc.bits.colour</t>
  </si>
  <si>
    <t>Colour Bitstream [bits]</t>
  </si>
  <si>
    <t>enc.bits.geometry</t>
  </si>
  <si>
    <t>Geometry Bitstream [bits]</t>
  </si>
  <si>
    <t>enc.bits.occ+patch</t>
  </si>
  <si>
    <t>Occ+Patch Bitstream [bits]</t>
  </si>
  <si>
    <t>enc.bits.reflectance</t>
  </si>
  <si>
    <t>Reflectance Bitstream [bits]</t>
  </si>
  <si>
    <t>enc.ext.bits</t>
  </si>
  <si>
    <t>Total Bitstream [bits]</t>
  </si>
  <si>
    <t>enc.utime</t>
  </si>
  <si>
    <t>User Encoder runtime [s]</t>
  </si>
  <si>
    <t>enc.utime.children</t>
  </si>
  <si>
    <t>Child Encoder runtime [s]</t>
  </si>
  <si>
    <t>enc.utime.self</t>
  </si>
  <si>
    <t>Self Encoder runtime [s]</t>
  </si>
  <si>
    <t>Rate [Mbps]</t>
  </si>
  <si>
    <t>eqn.bits.totalgeometry</t>
  </si>
  <si>
    <t>eqn.bits.totalgeometry Bitstream [bits]</t>
  </si>
  <si>
    <t>eqn.bpf</t>
  </si>
  <si>
    <t>Total Bits per input face [bpif]</t>
  </si>
  <si>
    <t>eqn.bpop</t>
  </si>
  <si>
    <t>Total Bits per output point [bpop]</t>
  </si>
  <si>
    <t>eqn.bpp</t>
  </si>
  <si>
    <t>Total Bits per input point [bpip]</t>
  </si>
  <si>
    <t>eqn.bpp.colour</t>
  </si>
  <si>
    <t>Colour  Bits per input point [bpip]</t>
  </si>
  <si>
    <t>eqn.bpp.geometry</t>
  </si>
  <si>
    <t>Geometry Bits per input point [bpip]</t>
  </si>
  <si>
    <t>eqn.bpp.geometry+occ+patch</t>
  </si>
  <si>
    <t>Tot.Geom Bits per input point [bpip]</t>
  </si>
  <si>
    <t>eqn.bpp.reflectance</t>
  </si>
  <si>
    <t>Reflectance Bits per input point [bpip]</t>
  </si>
  <si>
    <t>eqn.compratio</t>
  </si>
  <si>
    <t>Comp. ratio [%]</t>
  </si>
  <si>
    <t>C0_ai — lossless geometry, lossless attributes [all intra]</t>
  </si>
  <si>
    <t>Class</t>
  </si>
  <si>
    <t>Sequence</t>
  </si>
  <si>
    <t>№ input faces</t>
  </si>
  <si>
    <t>Geometry precision [bits]</t>
  </si>
  <si>
    <t>№ frames</t>
  </si>
  <si>
    <t>Frame rate [fps]</t>
  </si>
  <si>
    <t>Total bpif ratio [%]</t>
  </si>
  <si>
    <t>class</t>
  </si>
  <si>
    <t>sequence</t>
  </si>
  <si>
    <t>src.numfaces</t>
  </si>
  <si>
    <t>src.geometry-precision</t>
  </si>
  <si>
    <t>src.framecount</t>
  </si>
  <si>
    <t>src.framerate</t>
  </si>
  <si>
    <t>A.eqn.bitrate</t>
  </si>
  <si>
    <t>A.eqn.bpf</t>
  </si>
  <si>
    <t>A.enc.ext.bits</t>
  </si>
  <si>
    <t>A.enc.utime</t>
  </si>
  <si>
    <t>A.dec.utime</t>
  </si>
  <si>
    <t>B.eqn.bitrate</t>
  </si>
  <si>
    <t>B.eqn.bpf</t>
  </si>
  <si>
    <t>B.enc.ext.bits</t>
  </si>
  <si>
    <t>B.enc.utime</t>
  </si>
  <si>
    <t>B.dec.utime</t>
  </si>
  <si>
    <t>eqn.ab.ratio-bpf</t>
  </si>
  <si>
    <t>cat1-A</t>
  </si>
  <si>
    <t>cat1-B</t>
  </si>
  <si>
    <t>cat1-C</t>
  </si>
  <si>
    <t>Overall</t>
  </si>
  <si>
    <t>Total time [s]</t>
  </si>
  <si>
    <t>Total time [%]</t>
  </si>
  <si>
    <t>col.C0 lossless AI.class</t>
  </si>
  <si>
    <t>col.C0 lossless AI.sequence</t>
  </si>
  <si>
    <t>col.C0 lossless AI.src.numfaces</t>
  </si>
  <si>
    <t>col.C0 lossless AI.src.geometry-precision</t>
  </si>
  <si>
    <t>col.C0 lossless AI.src.framecount</t>
  </si>
  <si>
    <t>col.C0 lossless AI.src.framerate</t>
  </si>
  <si>
    <t>col.C0 lossless AI.A.eqn.bitrate</t>
  </si>
  <si>
    <t>col.C0 lossless AI.A.eqn.bpf</t>
  </si>
  <si>
    <t>col.C0 lossless AI.A.enc.ext.bits</t>
  </si>
  <si>
    <t>col.C0 lossless AI.A.enc.utime</t>
  </si>
  <si>
    <t>col.C0 lossless AI.A.dec.utime</t>
  </si>
  <si>
    <t>col.C0 lossless AI.B.eqn.bitrate</t>
  </si>
  <si>
    <t>col.C0 lossless AI.B.eqn.bpf</t>
  </si>
  <si>
    <t>col.C0 lossless AI.B.enc.ext.bits</t>
  </si>
  <si>
    <t>col.C0 lossless AI.B.enc.utime</t>
  </si>
  <si>
    <t>col.C0 lossless AI.B.dec.utime</t>
  </si>
  <si>
    <t>col.C0 lossless AI.eqn.ab.ratio-bpf</t>
  </si>
  <si>
    <t>name.A.C0 lossless AI</t>
  </si>
  <si>
    <t>'C0 lossless AI'!$H$1</t>
  </si>
  <si>
    <t>name.B.C0 lossless AI</t>
  </si>
  <si>
    <t>'C0 lossless AI'!$N$1</t>
  </si>
  <si>
    <t>range.C0 lossless AI.longdress_voxelised</t>
  </si>
  <si>
    <t>'C0 lossless AI'!$A$5:$T$5</t>
  </si>
  <si>
    <t>range.C0 lossless AI.soldier_voxelised</t>
  </si>
  <si>
    <t>'C0 lossless AI'!$A$6:$T$6</t>
  </si>
  <si>
    <t>range.C0 lossless AI.basketball_player_voxelised</t>
  </si>
  <si>
    <t>'C0 lossless AI'!$A$7:$T$7</t>
  </si>
  <si>
    <t>range.C0 lossless AI.dancer_voxelised</t>
  </si>
  <si>
    <t>'C0 lossless AI'!$A$8:$T$8</t>
  </si>
  <si>
    <t>range.C0 lossless AI.football_voxelised</t>
  </si>
  <si>
    <t>'C0 lossless AI'!$A$9:$T$9</t>
  </si>
  <si>
    <t>range.C0 lossless AI.levi_voxelised</t>
  </si>
  <si>
    <t>'C0 lossless AI'!$A$10:$T$10</t>
  </si>
  <si>
    <t>range.C0 lossless AI.mitch_voxelised</t>
  </si>
  <si>
    <t>'C0 lossless AI'!$A$11:$T$11</t>
  </si>
  <si>
    <t>range.C0 lossless AI.thomas_voxelised</t>
  </si>
  <si>
    <t>'C0 lossless AI'!$A$12:$T$12</t>
  </si>
  <si>
    <t>col.C1 lossy AI.class</t>
  </si>
  <si>
    <t>col.C1 lossy AI.sequence</t>
  </si>
  <si>
    <t>col.C1 lossy AI.variant</t>
  </si>
  <si>
    <t>col.C1 lossy AI.src.numfaces</t>
  </si>
  <si>
    <t>col.C1 lossy AI.src.geometry-precision</t>
  </si>
  <si>
    <t>col.C1 lossy AI.src.framecount</t>
  </si>
  <si>
    <t>col.C1 lossy AI.src.framerate</t>
  </si>
  <si>
    <t>col.C1 lossy AI.ctc.targetrate</t>
  </si>
  <si>
    <t>col.C1 lossy AI.A.eqn.bitrate</t>
  </si>
  <si>
    <t>col.C1 lossy AI.A.eqn.bpf</t>
  </si>
  <si>
    <t>col.C1 lossy AI.A.dec.numfaces</t>
  </si>
  <si>
    <t>col.C1 lossy AI.A.enc.ext.bits</t>
  </si>
  <si>
    <t>col.C1 lossy AI.A.dec.pc-d1-psnr</t>
  </si>
  <si>
    <t>col.C1 lossy AI.A.dec.pc-d2-psnr</t>
  </si>
  <si>
    <t>col.C1 lossy AI.A.dec.pc-y-psnr</t>
  </si>
  <si>
    <t>col.C1 lossy AI.A.dec.pc-cb-psnr</t>
  </si>
  <si>
    <t>col.C1 lossy AI.A.dec.pc-cr-psnr</t>
  </si>
  <si>
    <t>col.C1 lossy AI.A.dec.img-geom-psnr</t>
  </si>
  <si>
    <t>col.C1 lossy AI.A.dec.img-y-psnr</t>
  </si>
  <si>
    <t>col.C1 lossy AI.A.enc.utime</t>
  </si>
  <si>
    <t>col.C1 lossy AI.A.dec.utime</t>
  </si>
  <si>
    <t>col.C1 lossy AI.B.eqn.bitrate</t>
  </si>
  <si>
    <t>col.C1 lossy AI.B.eqn.bpf</t>
  </si>
  <si>
    <t>col.C1 lossy AI.B.dec.numfaces</t>
  </si>
  <si>
    <t>col.C1 lossy AI.B.enc.ext.bits</t>
  </si>
  <si>
    <t>col.C1 lossy AI.B.dec.pc-d1-psnr</t>
  </si>
  <si>
    <t>col.C1 lossy AI.B.dec.pc-d2-psnr</t>
  </si>
  <si>
    <t>col.C1 lossy AI.B.dec.pc-y-psnr</t>
  </si>
  <si>
    <t>col.C1 lossy AI.B.dec.pc-cb-psnr</t>
  </si>
  <si>
    <t>col.C1 lossy AI.B.dec.pc-cr-psnr</t>
  </si>
  <si>
    <t>col.C1 lossy AI.B.dec.img-geom-psnr</t>
  </si>
  <si>
    <t>col.C1 lossy AI.B.dec.img-y-psnr</t>
  </si>
  <si>
    <t>col.C1 lossy AI.B.enc.utime</t>
  </si>
  <si>
    <t>col.C1 lossy AI.B.dec.utime</t>
  </si>
  <si>
    <t>col.C1 lossy AI.eqn.ab.bdrate-pc-d1</t>
  </si>
  <si>
    <t>col.C1 lossy AI.eqn.ab.bdrate-pc-d2</t>
  </si>
  <si>
    <t>col.C1 lossy AI.eqn.ab.bdrate-pc-y</t>
  </si>
  <si>
    <t>col.C1 lossy AI.eqn.ab.bdrate-pc-cb</t>
  </si>
  <si>
    <t>col.C1 lossy AI.eqn.ab.bdrate-pc-cr</t>
  </si>
  <si>
    <t>col.C1 lossy AI.eqn.ab.bdrate-img-geom</t>
  </si>
  <si>
    <t>col.C1 lossy AI.eqn.ab.bdrate-img-y</t>
  </si>
  <si>
    <t>name.A.C1 lossy AI</t>
  </si>
  <si>
    <t>'C1 lossy AI'!$J$1</t>
  </si>
  <si>
    <t>name.B.C1 lossy AI</t>
  </si>
  <si>
    <t>'C1 lossy AI'!$X$1</t>
  </si>
  <si>
    <t>range.C1 lossy AI.longdress_voxelised</t>
  </si>
  <si>
    <t>'C1 lossy AI'!$A$5:$AR$9</t>
  </si>
  <si>
    <t>range.C1 lossy AI.soldier_voxelised</t>
  </si>
  <si>
    <t>'C1 lossy AI'!$A$10:$AR$14</t>
  </si>
  <si>
    <t>range.C1 lossy AI.basketball_player_voxelised</t>
  </si>
  <si>
    <t>'C1 lossy AI'!$A$15:$AR$19</t>
  </si>
  <si>
    <t>range.C1 lossy AI.dancer_voxelised</t>
  </si>
  <si>
    <t>'C1 lossy AI'!$A$20:$AR$24</t>
  </si>
  <si>
    <t>range.C1 lossy AI.football_voxelised</t>
  </si>
  <si>
    <t>'C1 lossy AI'!$A$25:$AR$29</t>
  </si>
  <si>
    <t>range.C1 lossy AI.levi_voxelised</t>
  </si>
  <si>
    <t>'C1 lossy AI'!$A$30:$AR$34</t>
  </si>
  <si>
    <t>range.C1 lossy AI.mitch_voxelised</t>
  </si>
  <si>
    <t>'C1 lossy AI'!$A$35:$AR$39</t>
  </si>
  <si>
    <t>range.C1 lossy AI.thomas_voxelised</t>
  </si>
  <si>
    <t>'C1 lossy AI'!$A$40:$AR$44</t>
  </si>
  <si>
    <t>cols.C1 lossy AI</t>
  </si>
  <si>
    <t>col.C2 lossy RA.class</t>
  </si>
  <si>
    <t>col.C2 lossy RA.sequence</t>
  </si>
  <si>
    <t>col.C2 lossy RA.variant</t>
  </si>
  <si>
    <t>col.C2 lossy RA.src.numfaces</t>
  </si>
  <si>
    <t>col.C2 lossy RA.src.geometry-precision</t>
  </si>
  <si>
    <t>col.C2 lossy RA.src.framecount</t>
  </si>
  <si>
    <t>col.C2 lossy RA.src.framerate</t>
  </si>
  <si>
    <t>col.C2 lossy RA.ctc.targetrate</t>
  </si>
  <si>
    <t>col.C2 lossy RA.A.eqn.bitrate</t>
  </si>
  <si>
    <t>col.C2 lossy RA.A.eqn.bpf</t>
  </si>
  <si>
    <t>col.C2 lossy RA.A.dec.numfaces</t>
  </si>
  <si>
    <t>col.C2 lossy RA.A.enc.ext.bits</t>
  </si>
  <si>
    <t>col.C2 lossy RA.A.dec.pc-d1-psnr</t>
  </si>
  <si>
    <t>col.C2 lossy RA.A.dec.pc-d2-psnr</t>
  </si>
  <si>
    <t>col.C2 lossy RA.A.dec.pc-y-psnr</t>
  </si>
  <si>
    <t>col.C2 lossy RA.A.dec.pc-cb-psnr</t>
  </si>
  <si>
    <t>col.C2 lossy RA.A.dec.pc-cr-psnr</t>
  </si>
  <si>
    <t>col.C2 lossy RA.A.dec.img-geom-psnr</t>
  </si>
  <si>
    <t>col.C2 lossy RA.A.dec.img-y-psnr</t>
  </si>
  <si>
    <t>col.C2 lossy RA.A.enc.utime</t>
  </si>
  <si>
    <t>col.C2 lossy RA.A.dec.utime</t>
  </si>
  <si>
    <t>col.C2 lossy RA.B.eqn.bitrate</t>
  </si>
  <si>
    <t>col.C2 lossy RA.B.eqn.bpf</t>
  </si>
  <si>
    <t>col.C2 lossy RA.B.dec.numfaces</t>
  </si>
  <si>
    <t>col.C2 lossy RA.B.enc.ext.bits</t>
  </si>
  <si>
    <t>col.C2 lossy RA.B.dec.pc-d1-psnr</t>
  </si>
  <si>
    <t>col.C2 lossy RA.B.dec.pc-d2-psnr</t>
  </si>
  <si>
    <t>col.C2 lossy RA.B.dec.pc-y-psnr</t>
  </si>
  <si>
    <t>col.C2 lossy RA.B.dec.pc-cb-psnr</t>
  </si>
  <si>
    <t>col.C2 lossy RA.B.dec.pc-cr-psnr</t>
  </si>
  <si>
    <t>col.C2 lossy RA.B.dec.img-geom-psnr</t>
  </si>
  <si>
    <t>col.C2 lossy RA.B.dec.img-y-psnr</t>
  </si>
  <si>
    <t>col.C2 lossy RA.B.enc.utime</t>
  </si>
  <si>
    <t>col.C2 lossy RA.B.dec.utime</t>
  </si>
  <si>
    <t>col.C2 lossy RA.eqn.ab.bdrate-pc-d1</t>
  </si>
  <si>
    <t>col.C2 lossy RA.eqn.ab.bdrate-pc-d2</t>
  </si>
  <si>
    <t>col.C2 lossy RA.eqn.ab.bdrate-pc-y</t>
  </si>
  <si>
    <t>col.C2 lossy RA.eqn.ab.bdrate-pc-cb</t>
  </si>
  <si>
    <t>col.C2 lossy RA.eqn.ab.bdrate-pc-cr</t>
  </si>
  <si>
    <t>col.C2 lossy RA.eqn.ab.bdrate-img-geom</t>
  </si>
  <si>
    <t>col.C2 lossy RA.eqn.ab.bdrate-img-y</t>
  </si>
  <si>
    <t>name.A.C2 lossy RA</t>
  </si>
  <si>
    <t>'C2 lossy RA'!$J$1</t>
  </si>
  <si>
    <t>name.B.C2 lossy RA</t>
  </si>
  <si>
    <t>'C2 lossy RA'!$X$1</t>
  </si>
  <si>
    <t>range.C2 lossy RA.longdress_voxelised</t>
  </si>
  <si>
    <t>'C2 lossy RA'!$A$5:$AR$9</t>
  </si>
  <si>
    <t>range.C2 lossy RA.soldier_voxelised</t>
  </si>
  <si>
    <t>'C2 lossy RA'!$A$10:$AR$14</t>
  </si>
  <si>
    <t>range.C2 lossy RA.basketball_player_voxelised</t>
  </si>
  <si>
    <t>'C2 lossy RA'!$A$15:$AR$19</t>
  </si>
  <si>
    <t>range.C2 lossy RA.dancer_voxelised</t>
  </si>
  <si>
    <t>'C2 lossy RA'!$A$20:$AR$24</t>
  </si>
  <si>
    <t>range.C2 lossy RA.football_voxelised</t>
  </si>
  <si>
    <t>'C2 lossy RA'!$A$25:$AR$29</t>
  </si>
  <si>
    <t>range.C2 lossy RA.levi_voxelised</t>
  </si>
  <si>
    <t>'C2 lossy RA'!$A$30:$AR$34</t>
  </si>
  <si>
    <t>range.C2 lossy RA.mitch_voxelised</t>
  </si>
  <si>
    <t>'C2 lossy RA'!$A$35:$AR$39</t>
  </si>
  <si>
    <t>range.C2 lossy RA.thomas_voxelised</t>
  </si>
  <si>
    <t>'C2 lossy RA'!$A$40:$AR$44</t>
  </si>
  <si>
    <t>cols.C2 lossy RA</t>
  </si>
  <si>
    <t>C1_ai — lossy geometry, lossy attributes [all intra]</t>
  </si>
  <si>
    <t>Variant</t>
  </si>
  <si>
    <t>Target rate [Mbps]</t>
  </si>
  <si>
    <t>Pointcloud-based PSNR [dB]</t>
  </si>
  <si>
    <t>Image-based PSNR [dB]</t>
  </si>
  <si>
    <t>variant</t>
  </si>
  <si>
    <t>ctc.targetrate</t>
  </si>
  <si>
    <t>A.dec.numfaces</t>
  </si>
  <si>
    <t>A.dec.pc-d1-psnr</t>
  </si>
  <si>
    <t>A.dec.pc-d2-psnr</t>
  </si>
  <si>
    <t>A.dec.pc-y-psnr</t>
  </si>
  <si>
    <t>A.dec.pc-cb-psnr</t>
  </si>
  <si>
    <t>A.dec.pc-cr-psnr</t>
  </si>
  <si>
    <t>A.dec.img-geom-psnr</t>
  </si>
  <si>
    <t>A.dec.img-y-psnr</t>
  </si>
  <si>
    <t>B.dec.numfaces</t>
  </si>
  <si>
    <t>B.dec.pc-d1-psnr</t>
  </si>
  <si>
    <t>B.dec.pc-d2-psnr</t>
  </si>
  <si>
    <t>B.dec.pc-y-psnr</t>
  </si>
  <si>
    <t>B.dec.pc-cb-psnr</t>
  </si>
  <si>
    <t>B.dec.pc-cr-psnr</t>
  </si>
  <si>
    <t>B.dec.img-geom-psnr</t>
  </si>
  <si>
    <t>B.dec.img-y-psnr</t>
  </si>
  <si>
    <t>eqn.ab.bdrate-pc-d1</t>
  </si>
  <si>
    <t>eqn.ab.bdrate-pc-d2</t>
  </si>
  <si>
    <t>eqn.ab.bdrate-pc-y</t>
  </si>
  <si>
    <t>eqn.ab.bdrate-pc-cb</t>
  </si>
  <si>
    <t>eqn.ab.bdrate-pc-cr</t>
  </si>
  <si>
    <t>eqn.ab.bdrate-img-geom</t>
  </si>
  <si>
    <t>eqn.ab.bdrate-img-y</t>
  </si>
  <si>
    <t>r01</t>
  </si>
  <si>
    <t>r02</t>
  </si>
  <si>
    <t>r03</t>
  </si>
  <si>
    <t>r04</t>
  </si>
  <si>
    <t>r05</t>
  </si>
  <si>
    <t>C2_ra — lossy geometry, lossy attributes [inter, random access]</t>
  </si>
  <si>
    <t>F032_v4.0 (no integration)</t>
  </si>
  <si>
    <t>F032_v4.0+orthoAtlas-uv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</si>
</sst>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0" fillId="0" borderId="0" xfId="0"/>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0" fontId="0" fillId="0" borderId="3" xfId="0" applyBorder="1"/>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1" fontId="0" fillId="8" borderId="0" xfId="0" applyNumberFormat="1" applyFill="1" applyAlignment="1">
      <alignment horizontal="center"/>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1"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0" fontId="0" fillId="10" borderId="3" xfId="0" applyFill="1" applyBorder="1"/>
    <xf numFmtId="1" fontId="0" fillId="10" borderId="3" xfId="0" applyNumberFormat="1" applyFill="1" applyBorder="1" applyAlignment="1">
      <alignment horizontal="center"/>
    </xf>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1"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0" fontId="0" fillId="10" borderId="0" xfId="0" applyFill="1"/>
    <xf numFmtId="1" fontId="0" fillId="10" borderId="0" xfId="0" applyNumberFormat="1" applyFill="1" applyAlignment="1">
      <alignment horizontal="center"/>
    </xf>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1"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0" fillId="9" borderId="0" xfId="0" applyFill="1"/>
    <xf numFmtId="2" fontId="0" fillId="9" borderId="0" xfId="0" applyNumberFormat="1" applyFill="1" applyAlignment="1">
      <alignment horizontal="center"/>
    </xf>
    <xf numFmtId="0" fontId="0" fillId="11" borderId="0" xfId="0" applyFill="1"/>
    <xf numFmtId="2" fontId="0" fillId="11"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 fontId="0" fillId="8" borderId="3" xfId="0" applyNumberFormat="1"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1" fontId="0" fillId="9" borderId="3" xfId="0" applyNumberFormat="1"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0" fontId="0" fillId="11" borderId="3" xfId="0" applyFill="1" applyBorder="1"/>
    <xf numFmtId="2" fontId="0" fillId="11" borderId="3" xfId="0" applyNumberFormat="1" applyFill="1" applyBorder="1" applyAlignment="1">
      <alignment horizontal="center"/>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cellXfs>
  <cellStyles count="1">
    <cellStyle name="Normal" xfId="0" builtinId="0"/>
  </cellStyles>
  <dxfs count="66">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Pointcloud-based PSNR [dB]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F032_v4.0 (no integration)</c:v>
                </c:pt>
              </c:strCache>
            </c:strRef>
          </c:tx>
          <c:spPr>
            <a:ln w="28575">
              <a:prstDash val="solid"/>
            </a:ln>
          </c:spPr>
          <c:marker>
            <c:symbol val="none"/>
          </c:marker>
          <c:xVal>
            <c:numRef>
              <c:f>Graphs!graph_a_x_range_A</c:f>
              <c:numCache>
                <c:formatCode>0.000</c:formatCode>
                <c:ptCount val="5"/>
                <c:pt idx="0">
                  <c:v>1.5371999999999999</c:v>
                </c:pt>
                <c:pt idx="1">
                  <c:v>4.5318224999999996</c:v>
                </c:pt>
                <c:pt idx="2">
                  <c:v>6.3282749999999997</c:v>
                </c:pt>
                <c:pt idx="3">
                  <c:v>8.6054624999999998</c:v>
                </c:pt>
                <c:pt idx="4">
                  <c:v>14.60055</c:v>
                </c:pt>
              </c:numCache>
            </c:numRef>
          </c:xVal>
          <c:yVal>
            <c:numRef>
              <c:f>Graphs!graph_a_y_range_A</c:f>
              <c:numCache>
                <c:formatCode>0.00</c:formatCode>
                <c:ptCount val="5"/>
                <c:pt idx="0">
                  <c:v>64.236003100000005</c:v>
                </c:pt>
                <c:pt idx="1">
                  <c:v>70.733020699999997</c:v>
                </c:pt>
                <c:pt idx="2">
                  <c:v>71.893481800000004</c:v>
                </c:pt>
                <c:pt idx="3">
                  <c:v>71.893481800000004</c:v>
                </c:pt>
                <c:pt idx="4">
                  <c:v>72.073928100000003</c:v>
                </c:pt>
              </c:numCache>
            </c:numRef>
          </c:yVal>
          <c:smooth val="1"/>
          <c:extLst>
            <c:ext xmlns:c16="http://schemas.microsoft.com/office/drawing/2014/chart" uri="{C3380CC4-5D6E-409C-BE32-E72D297353CC}">
              <c16:uniqueId val="{00000000-A9FF-44DC-A0B8-A648503948C2}"/>
            </c:ext>
          </c:extLst>
        </c:ser>
        <c:ser>
          <c:idx val="1"/>
          <c:order val="1"/>
          <c:tx>
            <c:strRef>
              <c:f>Graphs!graph_a_B_title</c:f>
              <c:strCache>
                <c:ptCount val="1"/>
                <c:pt idx="0">
                  <c:v>F032_v4.0+orthoAtlas-uv</c:v>
                </c:pt>
              </c:strCache>
            </c:strRef>
          </c:tx>
          <c:spPr>
            <a:ln w="28575">
              <a:prstDash val="solid"/>
            </a:ln>
          </c:spPr>
          <c:marker>
            <c:symbol val="none"/>
          </c:marker>
          <c:xVal>
            <c:numRef>
              <c:f>Graphs!graph_a_x_range_B</c:f>
              <c:numCache>
                <c:formatCode>0.000</c:formatCode>
                <c:ptCount val="5"/>
                <c:pt idx="0">
                  <c:v>1.34097</c:v>
                </c:pt>
                <c:pt idx="1">
                  <c:v>4.4606325</c:v>
                </c:pt>
                <c:pt idx="2">
                  <c:v>6.2673525000000003</c:v>
                </c:pt>
                <c:pt idx="3">
                  <c:v>8.4629250000000003</c:v>
                </c:pt>
                <c:pt idx="4">
                  <c:v>13.995329999999999</c:v>
                </c:pt>
              </c:numCache>
            </c:numRef>
          </c:xVal>
          <c:yVal>
            <c:numRef>
              <c:f>Graphs!graph_a_y_range_B</c:f>
              <c:numCache>
                <c:formatCode>0.00</c:formatCode>
                <c:ptCount val="5"/>
                <c:pt idx="0">
                  <c:v>64.206538499999994</c:v>
                </c:pt>
                <c:pt idx="1">
                  <c:v>70.817378399999996</c:v>
                </c:pt>
                <c:pt idx="2">
                  <c:v>72.039427700000005</c:v>
                </c:pt>
                <c:pt idx="3">
                  <c:v>72.039427700000005</c:v>
                </c:pt>
                <c:pt idx="4">
                  <c:v>72.236007400000005</c:v>
                </c:pt>
              </c:numCache>
            </c:numRef>
          </c:yVal>
          <c:smooth val="1"/>
          <c:extLst>
            <c:ext xmlns:c16="http://schemas.microsoft.com/office/drawing/2014/chart" uri="{C3380CC4-5D6E-409C-BE32-E72D297353CC}">
              <c16:uniqueId val="{00000001-A9FF-44DC-A0B8-A648503948C2}"/>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majorGridlines>
          <c:spPr>
            <a:ln>
              <a:solidFill>
                <a:srgbClr val="DFDFDF"/>
              </a:solidFill>
              <a:prstDash val="solid"/>
            </a:ln>
          </c:spPr>
        </c:majorGridlines>
        <c:title>
          <c:tx>
            <c:strRef>
              <c:f>Graphs!graph_a_x_title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10002"/>
        <c:crosses val="autoZero"/>
        <c:crossBetween val="midCat"/>
      </c:valAx>
      <c:valAx>
        <c:axId val="50010002"/>
        <c:scaling>
          <c:orientation val="minMax"/>
        </c:scaling>
        <c:delete val="0"/>
        <c:axPos val="l"/>
        <c:majorGridlines>
          <c:spPr>
            <a:ln>
              <a:solidFill>
                <a:srgbClr val="DFDFDF"/>
              </a:solidFill>
              <a:prstDash val="solid"/>
            </a:ln>
          </c:spPr>
        </c:majorGridlines>
        <c:title>
          <c:tx>
            <c:strRef>
              <c:f>Graphs!graph_a_y_title</c:f>
              <c:strCache>
                <c:ptCount val="1"/>
                <c:pt idx="0">
                  <c:v>D1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Pointcloud-based PSNR [dB]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F032_v4.0 (no integration)</c:v>
                </c:pt>
              </c:strCache>
            </c:strRef>
          </c:tx>
          <c:spPr>
            <a:ln w="28575">
              <a:prstDash val="solid"/>
            </a:ln>
          </c:spPr>
          <c:marker>
            <c:symbol val="none"/>
          </c:marker>
          <c:xVal>
            <c:numRef>
              <c:f>Graphs!graph_b_x_range_A</c:f>
              <c:numCache>
                <c:formatCode>0.000</c:formatCode>
                <c:ptCount val="5"/>
                <c:pt idx="0">
                  <c:v>1.5371999999999999</c:v>
                </c:pt>
                <c:pt idx="1">
                  <c:v>4.5318224999999996</c:v>
                </c:pt>
                <c:pt idx="2">
                  <c:v>6.3282749999999997</c:v>
                </c:pt>
                <c:pt idx="3">
                  <c:v>8.6054624999999998</c:v>
                </c:pt>
                <c:pt idx="4">
                  <c:v>14.60055</c:v>
                </c:pt>
              </c:numCache>
            </c:numRef>
          </c:xVal>
          <c:yVal>
            <c:numRef>
              <c:f>Graphs!graph_b_y_range_A</c:f>
              <c:numCache>
                <c:formatCode>0.00</c:formatCode>
                <c:ptCount val="5"/>
                <c:pt idx="0">
                  <c:v>64.859363299999998</c:v>
                </c:pt>
                <c:pt idx="1">
                  <c:v>72.196621899999997</c:v>
                </c:pt>
                <c:pt idx="2">
                  <c:v>73.507742899999997</c:v>
                </c:pt>
                <c:pt idx="3">
                  <c:v>73.507742899999997</c:v>
                </c:pt>
                <c:pt idx="4">
                  <c:v>73.696620499999995</c:v>
                </c:pt>
              </c:numCache>
            </c:numRef>
          </c:yVal>
          <c:smooth val="1"/>
          <c:extLst>
            <c:ext xmlns:c16="http://schemas.microsoft.com/office/drawing/2014/chart" uri="{C3380CC4-5D6E-409C-BE32-E72D297353CC}">
              <c16:uniqueId val="{00000000-E48A-40E6-B23A-6440C7A3B7A0}"/>
            </c:ext>
          </c:extLst>
        </c:ser>
        <c:ser>
          <c:idx val="1"/>
          <c:order val="1"/>
          <c:tx>
            <c:strRef>
              <c:f>Graphs!graph_b_B_title</c:f>
              <c:strCache>
                <c:ptCount val="1"/>
                <c:pt idx="0">
                  <c:v>F032_v4.0+orthoAtlas-uv</c:v>
                </c:pt>
              </c:strCache>
            </c:strRef>
          </c:tx>
          <c:spPr>
            <a:ln w="28575">
              <a:prstDash val="solid"/>
            </a:ln>
          </c:spPr>
          <c:marker>
            <c:symbol val="none"/>
          </c:marker>
          <c:xVal>
            <c:numRef>
              <c:f>Graphs!graph_b_x_range_B</c:f>
              <c:numCache>
                <c:formatCode>0.000</c:formatCode>
                <c:ptCount val="5"/>
                <c:pt idx="0">
                  <c:v>1.34097</c:v>
                </c:pt>
                <c:pt idx="1">
                  <c:v>4.4606325</c:v>
                </c:pt>
                <c:pt idx="2">
                  <c:v>6.2673525000000003</c:v>
                </c:pt>
                <c:pt idx="3">
                  <c:v>8.4629250000000003</c:v>
                </c:pt>
                <c:pt idx="4">
                  <c:v>13.995329999999999</c:v>
                </c:pt>
              </c:numCache>
            </c:numRef>
          </c:xVal>
          <c:yVal>
            <c:numRef>
              <c:f>Graphs!graph_b_y_range_B</c:f>
              <c:numCache>
                <c:formatCode>0.00</c:formatCode>
                <c:ptCount val="5"/>
                <c:pt idx="0">
                  <c:v>64.826830900000004</c:v>
                </c:pt>
                <c:pt idx="1">
                  <c:v>72.290518000000006</c:v>
                </c:pt>
                <c:pt idx="2">
                  <c:v>73.695285299999995</c:v>
                </c:pt>
                <c:pt idx="3">
                  <c:v>73.695285299999995</c:v>
                </c:pt>
                <c:pt idx="4">
                  <c:v>73.910298800000007</c:v>
                </c:pt>
              </c:numCache>
            </c:numRef>
          </c:yVal>
          <c:smooth val="1"/>
          <c:extLst>
            <c:ext xmlns:c16="http://schemas.microsoft.com/office/drawing/2014/chart" uri="{C3380CC4-5D6E-409C-BE32-E72D297353CC}">
              <c16:uniqueId val="{00000001-E48A-40E6-B23A-6440C7A3B7A0}"/>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majorGridlines>
          <c:spPr>
            <a:ln>
              <a:solidFill>
                <a:srgbClr val="DFDFDF"/>
              </a:solidFill>
              <a:prstDash val="solid"/>
            </a:ln>
          </c:spPr>
        </c:majorGridlines>
        <c:title>
          <c:tx>
            <c:strRef>
              <c:f>Graphs!graph_b_x_title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20002"/>
        <c:crosses val="autoZero"/>
        <c:crossBetween val="midCat"/>
      </c:valAx>
      <c:valAx>
        <c:axId val="50020002"/>
        <c:scaling>
          <c:orientation val="minMax"/>
        </c:scaling>
        <c:delete val="0"/>
        <c:axPos val="l"/>
        <c:majorGridlines>
          <c:spPr>
            <a:ln>
              <a:solidFill>
                <a:srgbClr val="DFDFDF"/>
              </a:solidFill>
              <a:prstDash val="solid"/>
            </a:ln>
          </c:spPr>
        </c:majorGridlines>
        <c:title>
          <c:tx>
            <c:strRef>
              <c:f>Graphs!graph_b_y_title</c:f>
              <c:strCache>
                <c:ptCount val="1"/>
                <c:pt idx="0">
                  <c:v>D2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Geom Image-based PSNR [dB]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F032_v4.0 (no integration)</c:v>
                </c:pt>
              </c:strCache>
            </c:strRef>
          </c:tx>
          <c:spPr>
            <a:ln w="28575">
              <a:prstDash val="solid"/>
            </a:ln>
          </c:spPr>
          <c:marker>
            <c:symbol val="none"/>
          </c:marker>
          <c:xVal>
            <c:numRef>
              <c:f>Graphs!graph_c_x_range_A</c:f>
              <c:numCache>
                <c:formatCode>0.000</c:formatCode>
                <c:ptCount val="5"/>
                <c:pt idx="0">
                  <c:v>1.5371999999999999</c:v>
                </c:pt>
                <c:pt idx="1">
                  <c:v>4.5318224999999996</c:v>
                </c:pt>
                <c:pt idx="2">
                  <c:v>6.3282749999999997</c:v>
                </c:pt>
                <c:pt idx="3">
                  <c:v>8.6054624999999998</c:v>
                </c:pt>
                <c:pt idx="4">
                  <c:v>14.60055</c:v>
                </c:pt>
              </c:numCache>
            </c:numRef>
          </c:xVal>
          <c:yVal>
            <c:numRef>
              <c:f>Graphs!graph_c_y_range_A</c:f>
              <c:numCache>
                <c:formatCode>0.00</c:formatCode>
                <c:ptCount val="5"/>
                <c:pt idx="0">
                  <c:v>43.973058600000002</c:v>
                </c:pt>
                <c:pt idx="1">
                  <c:v>47.651109900000002</c:v>
                </c:pt>
                <c:pt idx="2">
                  <c:v>48.272742600000001</c:v>
                </c:pt>
                <c:pt idx="3">
                  <c:v>48.272742600000001</c:v>
                </c:pt>
                <c:pt idx="4">
                  <c:v>48.399188299999999</c:v>
                </c:pt>
              </c:numCache>
            </c:numRef>
          </c:yVal>
          <c:smooth val="1"/>
          <c:extLst>
            <c:ext xmlns:c16="http://schemas.microsoft.com/office/drawing/2014/chart" uri="{C3380CC4-5D6E-409C-BE32-E72D297353CC}">
              <c16:uniqueId val="{00000000-1172-4763-83F5-AC19B760C707}"/>
            </c:ext>
          </c:extLst>
        </c:ser>
        <c:ser>
          <c:idx val="1"/>
          <c:order val="1"/>
          <c:tx>
            <c:strRef>
              <c:f>Graphs!graph_c_B_title</c:f>
              <c:strCache>
                <c:ptCount val="1"/>
                <c:pt idx="0">
                  <c:v>F032_v4.0+orthoAtlas-uv</c:v>
                </c:pt>
              </c:strCache>
            </c:strRef>
          </c:tx>
          <c:spPr>
            <a:ln w="28575">
              <a:prstDash val="solid"/>
            </a:ln>
          </c:spPr>
          <c:marker>
            <c:symbol val="none"/>
          </c:marker>
          <c:xVal>
            <c:numRef>
              <c:f>Graphs!graph_c_x_range_B</c:f>
              <c:numCache>
                <c:formatCode>0.000</c:formatCode>
                <c:ptCount val="5"/>
                <c:pt idx="0">
                  <c:v>1.34097</c:v>
                </c:pt>
                <c:pt idx="1">
                  <c:v>4.4606325</c:v>
                </c:pt>
                <c:pt idx="2">
                  <c:v>6.2673525000000003</c:v>
                </c:pt>
                <c:pt idx="3">
                  <c:v>8.4629250000000003</c:v>
                </c:pt>
                <c:pt idx="4">
                  <c:v>13.995329999999999</c:v>
                </c:pt>
              </c:numCache>
            </c:numRef>
          </c:xVal>
          <c:yVal>
            <c:numRef>
              <c:f>Graphs!graph_c_y_range_B</c:f>
              <c:numCache>
                <c:formatCode>0.00</c:formatCode>
                <c:ptCount val="5"/>
                <c:pt idx="0">
                  <c:v>43.958858200000002</c:v>
                </c:pt>
                <c:pt idx="1">
                  <c:v>47.738811099999999</c:v>
                </c:pt>
                <c:pt idx="2">
                  <c:v>48.455277100000004</c:v>
                </c:pt>
                <c:pt idx="3">
                  <c:v>48.455277100000004</c:v>
                </c:pt>
                <c:pt idx="4">
                  <c:v>48.5540053</c:v>
                </c:pt>
              </c:numCache>
            </c:numRef>
          </c:yVal>
          <c:smooth val="1"/>
          <c:extLst>
            <c:ext xmlns:c16="http://schemas.microsoft.com/office/drawing/2014/chart" uri="{C3380CC4-5D6E-409C-BE32-E72D297353CC}">
              <c16:uniqueId val="{00000001-1172-4763-83F5-AC19B760C707}"/>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majorGridlines>
          <c:spPr>
            <a:ln>
              <a:solidFill>
                <a:srgbClr val="DFDFDF"/>
              </a:solidFill>
              <a:prstDash val="solid"/>
            </a:ln>
          </c:spPr>
        </c:majorGridlines>
        <c:title>
          <c:tx>
            <c:strRef>
              <c:f>Graphs!graph_c_x_title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30002"/>
        <c:crosses val="autoZero"/>
        <c:crossBetween val="midCat"/>
      </c:valAx>
      <c:valAx>
        <c:axId val="50030002"/>
        <c:scaling>
          <c:orientation val="minMax"/>
        </c:scaling>
        <c:delete val="0"/>
        <c:axPos val="l"/>
        <c:majorGridlines>
          <c:spPr>
            <a:ln>
              <a:solidFill>
                <a:srgbClr val="DFDFDF"/>
              </a:solidFill>
              <a:prstDash val="solid"/>
            </a:ln>
          </c:spPr>
        </c:majorGridlines>
        <c:title>
          <c:tx>
            <c:strRef>
              <c:f>Graphs!graph_c_y_title</c:f>
              <c:strCache>
                <c:ptCount val="1"/>
                <c:pt idx="0">
                  <c:v>Geom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Luma Pointcloud-based PSNR [dB]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F032_v4.0 (no integration)</c:v>
                </c:pt>
              </c:strCache>
            </c:strRef>
          </c:tx>
          <c:spPr>
            <a:ln w="28575">
              <a:prstDash val="solid"/>
            </a:ln>
          </c:spPr>
          <c:marker>
            <c:symbol val="none"/>
          </c:marker>
          <c:xVal>
            <c:numRef>
              <c:f>Graphs!graph_d_x_range_A</c:f>
              <c:numCache>
                <c:formatCode>0.000</c:formatCode>
                <c:ptCount val="5"/>
                <c:pt idx="0">
                  <c:v>1.5371999999999999</c:v>
                </c:pt>
                <c:pt idx="1">
                  <c:v>4.5318224999999996</c:v>
                </c:pt>
                <c:pt idx="2">
                  <c:v>6.3282749999999997</c:v>
                </c:pt>
                <c:pt idx="3">
                  <c:v>8.6054624999999998</c:v>
                </c:pt>
                <c:pt idx="4">
                  <c:v>14.60055</c:v>
                </c:pt>
              </c:numCache>
            </c:numRef>
          </c:xVal>
          <c:yVal>
            <c:numRef>
              <c:f>Graphs!graph_d_y_range_A</c:f>
              <c:numCache>
                <c:formatCode>0.00</c:formatCode>
                <c:ptCount val="5"/>
                <c:pt idx="0">
                  <c:v>33.883449900000002</c:v>
                </c:pt>
                <c:pt idx="1">
                  <c:v>35.735233200000003</c:v>
                </c:pt>
                <c:pt idx="2">
                  <c:v>36.2935807</c:v>
                </c:pt>
                <c:pt idx="3">
                  <c:v>37.576422299999997</c:v>
                </c:pt>
                <c:pt idx="4">
                  <c:v>38.9396828</c:v>
                </c:pt>
              </c:numCache>
            </c:numRef>
          </c:yVal>
          <c:smooth val="1"/>
          <c:extLst>
            <c:ext xmlns:c16="http://schemas.microsoft.com/office/drawing/2014/chart" uri="{C3380CC4-5D6E-409C-BE32-E72D297353CC}">
              <c16:uniqueId val="{00000000-ABBE-4665-B651-33855AF643FF}"/>
            </c:ext>
          </c:extLst>
        </c:ser>
        <c:ser>
          <c:idx val="1"/>
          <c:order val="1"/>
          <c:tx>
            <c:strRef>
              <c:f>Graphs!graph_d_B_title</c:f>
              <c:strCache>
                <c:ptCount val="1"/>
                <c:pt idx="0">
                  <c:v>F032_v4.0+orthoAtlas-uv</c:v>
                </c:pt>
              </c:strCache>
            </c:strRef>
          </c:tx>
          <c:spPr>
            <a:ln w="28575">
              <a:prstDash val="solid"/>
            </a:ln>
          </c:spPr>
          <c:marker>
            <c:symbol val="none"/>
          </c:marker>
          <c:xVal>
            <c:numRef>
              <c:f>Graphs!graph_d_x_range_B</c:f>
              <c:numCache>
                <c:formatCode>0.000</c:formatCode>
                <c:ptCount val="5"/>
                <c:pt idx="0">
                  <c:v>1.34097</c:v>
                </c:pt>
                <c:pt idx="1">
                  <c:v>4.4606325</c:v>
                </c:pt>
                <c:pt idx="2">
                  <c:v>6.2673525000000003</c:v>
                </c:pt>
                <c:pt idx="3">
                  <c:v>8.4629250000000003</c:v>
                </c:pt>
                <c:pt idx="4">
                  <c:v>13.995329999999999</c:v>
                </c:pt>
              </c:numCache>
            </c:numRef>
          </c:xVal>
          <c:yVal>
            <c:numRef>
              <c:f>Graphs!graph_d_y_range_B</c:f>
              <c:numCache>
                <c:formatCode>0.00</c:formatCode>
                <c:ptCount val="5"/>
                <c:pt idx="0">
                  <c:v>33.272123000000001</c:v>
                </c:pt>
                <c:pt idx="1">
                  <c:v>34.700930200000002</c:v>
                </c:pt>
                <c:pt idx="2">
                  <c:v>35.240003999999999</c:v>
                </c:pt>
                <c:pt idx="3">
                  <c:v>36.538460200000003</c:v>
                </c:pt>
                <c:pt idx="4">
                  <c:v>37.9282757</c:v>
                </c:pt>
              </c:numCache>
            </c:numRef>
          </c:yVal>
          <c:smooth val="1"/>
          <c:extLst>
            <c:ext xmlns:c16="http://schemas.microsoft.com/office/drawing/2014/chart" uri="{C3380CC4-5D6E-409C-BE32-E72D297353CC}">
              <c16:uniqueId val="{00000001-ABBE-4665-B651-33855AF643FF}"/>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majorGridlines>
          <c:spPr>
            <a:ln>
              <a:solidFill>
                <a:srgbClr val="DFDFDF"/>
              </a:solidFill>
              <a:prstDash val="solid"/>
            </a:ln>
          </c:spPr>
        </c:majorGridlines>
        <c:title>
          <c:tx>
            <c:strRef>
              <c:f>Graphs!graph_d_x_title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40002"/>
        <c:crosses val="autoZero"/>
        <c:crossBetween val="midCat"/>
      </c:valAx>
      <c:valAx>
        <c:axId val="50040002"/>
        <c:scaling>
          <c:orientation val="minMax"/>
        </c:scaling>
        <c:delete val="0"/>
        <c:axPos val="l"/>
        <c:majorGridlines>
          <c:spPr>
            <a:ln>
              <a:solidFill>
                <a:srgbClr val="DFDFDF"/>
              </a:solidFill>
              <a:prstDash val="solid"/>
            </a:ln>
          </c:spPr>
        </c:majorGridlines>
        <c:title>
          <c:tx>
            <c:strRef>
              <c:f>Graphs!graph_d_y_title</c:f>
              <c:strCache>
                <c:ptCount val="1"/>
                <c:pt idx="0">
                  <c:v>Luma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Cb Pointcloud-based PSNR [dB]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F032_v4.0 (no integration)</c:v>
                </c:pt>
              </c:strCache>
            </c:strRef>
          </c:tx>
          <c:spPr>
            <a:ln w="28575">
              <a:prstDash val="solid"/>
            </a:ln>
          </c:spPr>
          <c:marker>
            <c:symbol val="none"/>
          </c:marker>
          <c:xVal>
            <c:numRef>
              <c:f>Graphs!graph_e_x_range_A</c:f>
              <c:numCache>
                <c:formatCode>0.000</c:formatCode>
                <c:ptCount val="5"/>
                <c:pt idx="0">
                  <c:v>1.5371999999999999</c:v>
                </c:pt>
                <c:pt idx="1">
                  <c:v>4.5318224999999996</c:v>
                </c:pt>
                <c:pt idx="2">
                  <c:v>6.3282749999999997</c:v>
                </c:pt>
                <c:pt idx="3">
                  <c:v>8.6054624999999998</c:v>
                </c:pt>
                <c:pt idx="4">
                  <c:v>14.60055</c:v>
                </c:pt>
              </c:numCache>
            </c:numRef>
          </c:xVal>
          <c:yVal>
            <c:numRef>
              <c:f>Graphs!graph_e_y_range_A</c:f>
              <c:numCache>
                <c:formatCode>0.00</c:formatCode>
                <c:ptCount val="5"/>
                <c:pt idx="0">
                  <c:v>45.610619300000003</c:v>
                </c:pt>
                <c:pt idx="1">
                  <c:v>46.0173743</c:v>
                </c:pt>
                <c:pt idx="2">
                  <c:v>46.367927299999998</c:v>
                </c:pt>
                <c:pt idx="3">
                  <c:v>47.415949099999999</c:v>
                </c:pt>
                <c:pt idx="4">
                  <c:v>48.420580399999999</c:v>
                </c:pt>
              </c:numCache>
            </c:numRef>
          </c:yVal>
          <c:smooth val="1"/>
          <c:extLst>
            <c:ext xmlns:c16="http://schemas.microsoft.com/office/drawing/2014/chart" uri="{C3380CC4-5D6E-409C-BE32-E72D297353CC}">
              <c16:uniqueId val="{00000000-4FEA-4402-81CB-D83EFFF9C676}"/>
            </c:ext>
          </c:extLst>
        </c:ser>
        <c:ser>
          <c:idx val="1"/>
          <c:order val="1"/>
          <c:tx>
            <c:strRef>
              <c:f>Graphs!graph_e_B_title</c:f>
              <c:strCache>
                <c:ptCount val="1"/>
                <c:pt idx="0">
                  <c:v>F032_v4.0+orthoAtlas-uv</c:v>
                </c:pt>
              </c:strCache>
            </c:strRef>
          </c:tx>
          <c:spPr>
            <a:ln w="28575">
              <a:prstDash val="solid"/>
            </a:ln>
          </c:spPr>
          <c:marker>
            <c:symbol val="none"/>
          </c:marker>
          <c:xVal>
            <c:numRef>
              <c:f>Graphs!graph_e_x_range_B</c:f>
              <c:numCache>
                <c:formatCode>0.000</c:formatCode>
                <c:ptCount val="5"/>
                <c:pt idx="0">
                  <c:v>1.34097</c:v>
                </c:pt>
                <c:pt idx="1">
                  <c:v>4.4606325</c:v>
                </c:pt>
                <c:pt idx="2">
                  <c:v>6.2673525000000003</c:v>
                </c:pt>
                <c:pt idx="3">
                  <c:v>8.4629250000000003</c:v>
                </c:pt>
                <c:pt idx="4">
                  <c:v>13.995329999999999</c:v>
                </c:pt>
              </c:numCache>
            </c:numRef>
          </c:xVal>
          <c:yVal>
            <c:numRef>
              <c:f>Graphs!graph_e_y_range_B</c:f>
              <c:numCache>
                <c:formatCode>0.00</c:formatCode>
                <c:ptCount val="5"/>
                <c:pt idx="0">
                  <c:v>45.281648099999998</c:v>
                </c:pt>
                <c:pt idx="1">
                  <c:v>45.591986499999997</c:v>
                </c:pt>
                <c:pt idx="2">
                  <c:v>45.925153899999998</c:v>
                </c:pt>
                <c:pt idx="3">
                  <c:v>46.878863699999997</c:v>
                </c:pt>
                <c:pt idx="4">
                  <c:v>47.868059500000001</c:v>
                </c:pt>
              </c:numCache>
            </c:numRef>
          </c:yVal>
          <c:smooth val="1"/>
          <c:extLst>
            <c:ext xmlns:c16="http://schemas.microsoft.com/office/drawing/2014/chart" uri="{C3380CC4-5D6E-409C-BE32-E72D297353CC}">
              <c16:uniqueId val="{00000001-4FEA-4402-81CB-D83EFFF9C676}"/>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majorGridlines>
          <c:spPr>
            <a:ln>
              <a:solidFill>
                <a:srgbClr val="DFDFDF"/>
              </a:solidFill>
              <a:prstDash val="solid"/>
            </a:ln>
          </c:spPr>
        </c:majorGridlines>
        <c:title>
          <c:tx>
            <c:strRef>
              <c:f>Graphs!graph_e_x_title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50002"/>
        <c:crosses val="autoZero"/>
        <c:crossBetween val="midCat"/>
      </c:valAx>
      <c:valAx>
        <c:axId val="50050002"/>
        <c:scaling>
          <c:orientation val="minMax"/>
        </c:scaling>
        <c:delete val="0"/>
        <c:axPos val="l"/>
        <c:majorGridlines>
          <c:spPr>
            <a:ln>
              <a:solidFill>
                <a:srgbClr val="DFDFDF"/>
              </a:solidFill>
              <a:prstDash val="solid"/>
            </a:ln>
          </c:spPr>
        </c:majorGridlines>
        <c:title>
          <c:tx>
            <c:strRef>
              <c:f>Graphs!graph_e_y_title</c:f>
              <c:strCache>
                <c:ptCount val="1"/>
                <c:pt idx="0">
                  <c:v>Chroma Cb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Chroma Cr Pointcloud-based PSNR [dB]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F032_v4.0 (no integration)</c:v>
                </c:pt>
              </c:strCache>
            </c:strRef>
          </c:tx>
          <c:spPr>
            <a:ln w="28575">
              <a:prstDash val="solid"/>
            </a:ln>
          </c:spPr>
          <c:marker>
            <c:symbol val="none"/>
          </c:marker>
          <c:xVal>
            <c:numRef>
              <c:f>Graphs!graph_f_x_range_A</c:f>
              <c:numCache>
                <c:formatCode>0.000</c:formatCode>
                <c:ptCount val="5"/>
                <c:pt idx="0">
                  <c:v>1.5371999999999999</c:v>
                </c:pt>
                <c:pt idx="1">
                  <c:v>4.5318224999999996</c:v>
                </c:pt>
                <c:pt idx="2">
                  <c:v>6.3282749999999997</c:v>
                </c:pt>
                <c:pt idx="3">
                  <c:v>8.6054624999999998</c:v>
                </c:pt>
                <c:pt idx="4">
                  <c:v>14.60055</c:v>
                </c:pt>
              </c:numCache>
            </c:numRef>
          </c:xVal>
          <c:yVal>
            <c:numRef>
              <c:f>Graphs!graph_f_y_range_A</c:f>
              <c:numCache>
                <c:formatCode>0.00</c:formatCode>
                <c:ptCount val="5"/>
                <c:pt idx="0">
                  <c:v>45.880946999999999</c:v>
                </c:pt>
                <c:pt idx="1">
                  <c:v>46.474853799999998</c:v>
                </c:pt>
                <c:pt idx="2">
                  <c:v>46.9380764</c:v>
                </c:pt>
                <c:pt idx="3">
                  <c:v>48.010912500000003</c:v>
                </c:pt>
                <c:pt idx="4">
                  <c:v>49.0984008</c:v>
                </c:pt>
              </c:numCache>
            </c:numRef>
          </c:yVal>
          <c:smooth val="1"/>
          <c:extLst>
            <c:ext xmlns:c16="http://schemas.microsoft.com/office/drawing/2014/chart" uri="{C3380CC4-5D6E-409C-BE32-E72D297353CC}">
              <c16:uniqueId val="{00000000-99F4-4706-AF61-A4B589CF2061}"/>
            </c:ext>
          </c:extLst>
        </c:ser>
        <c:ser>
          <c:idx val="1"/>
          <c:order val="1"/>
          <c:tx>
            <c:strRef>
              <c:f>Graphs!graph_f_B_title</c:f>
              <c:strCache>
                <c:ptCount val="1"/>
                <c:pt idx="0">
                  <c:v>F032_v4.0+orthoAtlas-uv</c:v>
                </c:pt>
              </c:strCache>
            </c:strRef>
          </c:tx>
          <c:spPr>
            <a:ln w="28575">
              <a:prstDash val="solid"/>
            </a:ln>
          </c:spPr>
          <c:marker>
            <c:symbol val="none"/>
          </c:marker>
          <c:xVal>
            <c:numRef>
              <c:f>Graphs!graph_f_x_range_B</c:f>
              <c:numCache>
                <c:formatCode>0.000</c:formatCode>
                <c:ptCount val="5"/>
                <c:pt idx="0">
                  <c:v>1.34097</c:v>
                </c:pt>
                <c:pt idx="1">
                  <c:v>4.4606325</c:v>
                </c:pt>
                <c:pt idx="2">
                  <c:v>6.2673525000000003</c:v>
                </c:pt>
                <c:pt idx="3">
                  <c:v>8.4629250000000003</c:v>
                </c:pt>
                <c:pt idx="4">
                  <c:v>13.995329999999999</c:v>
                </c:pt>
              </c:numCache>
            </c:numRef>
          </c:xVal>
          <c:yVal>
            <c:numRef>
              <c:f>Graphs!graph_f_y_range_B</c:f>
              <c:numCache>
                <c:formatCode>0.00</c:formatCode>
                <c:ptCount val="5"/>
                <c:pt idx="0">
                  <c:v>45.611411799999999</c:v>
                </c:pt>
                <c:pt idx="1">
                  <c:v>45.996033099999998</c:v>
                </c:pt>
                <c:pt idx="2">
                  <c:v>46.368346699999996</c:v>
                </c:pt>
                <c:pt idx="3">
                  <c:v>47.4667496</c:v>
                </c:pt>
                <c:pt idx="4">
                  <c:v>48.506467899999997</c:v>
                </c:pt>
              </c:numCache>
            </c:numRef>
          </c:yVal>
          <c:smooth val="1"/>
          <c:extLst>
            <c:ext xmlns:c16="http://schemas.microsoft.com/office/drawing/2014/chart" uri="{C3380CC4-5D6E-409C-BE32-E72D297353CC}">
              <c16:uniqueId val="{00000001-99F4-4706-AF61-A4B589CF2061}"/>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majorGridlines>
          <c:spPr>
            <a:ln>
              <a:solidFill>
                <a:srgbClr val="DFDFDF"/>
              </a:solidFill>
              <a:prstDash val="solid"/>
            </a:ln>
          </c:spPr>
        </c:majorGridlines>
        <c:title>
          <c:tx>
            <c:strRef>
              <c:f>Graphs!graph_f_x_title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60002"/>
        <c:crosses val="autoZero"/>
        <c:crossBetween val="midCat"/>
      </c:valAx>
      <c:valAx>
        <c:axId val="50060002"/>
        <c:scaling>
          <c:orientation val="minMax"/>
        </c:scaling>
        <c:delete val="0"/>
        <c:axPos val="l"/>
        <c:majorGridlines>
          <c:spPr>
            <a:ln>
              <a:solidFill>
                <a:srgbClr val="DFDFDF"/>
              </a:solidFill>
              <a:prstDash val="solid"/>
            </a:ln>
          </c:spPr>
        </c:majorGridlines>
        <c:title>
          <c:tx>
            <c:strRef>
              <c:f>Graphs!graph_f_y_title</c:f>
              <c:strCache>
                <c:ptCount val="1"/>
                <c:pt idx="0">
                  <c:v>Chroma Cr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Graphs!graph_g_title</c:f>
          <c:strCache>
            <c:ptCount val="1"/>
            <c:pt idx="0">
              <c:v>Luma Image-based PSNR [dB] (Graph g)</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Graphs!graph_g_A_title</c:f>
              <c:strCache>
                <c:ptCount val="1"/>
                <c:pt idx="0">
                  <c:v>F032_v4.0 (no integration)</c:v>
                </c:pt>
              </c:strCache>
            </c:strRef>
          </c:tx>
          <c:spPr>
            <a:ln w="28575">
              <a:prstDash val="solid"/>
            </a:ln>
          </c:spPr>
          <c:marker>
            <c:symbol val="none"/>
          </c:marker>
          <c:xVal>
            <c:numRef>
              <c:f>Graphs!graph_g_x_range_A</c:f>
              <c:numCache>
                <c:formatCode>0.000</c:formatCode>
                <c:ptCount val="5"/>
                <c:pt idx="0">
                  <c:v>1.5371999999999999</c:v>
                </c:pt>
                <c:pt idx="1">
                  <c:v>4.5318224999999996</c:v>
                </c:pt>
                <c:pt idx="2">
                  <c:v>6.3282749999999997</c:v>
                </c:pt>
                <c:pt idx="3">
                  <c:v>8.6054624999999998</c:v>
                </c:pt>
                <c:pt idx="4">
                  <c:v>14.60055</c:v>
                </c:pt>
              </c:numCache>
            </c:numRef>
          </c:xVal>
          <c:yVal>
            <c:numRef>
              <c:f>Graphs!graph_g_y_range_A</c:f>
              <c:numCache>
                <c:formatCode>0.00</c:formatCode>
                <c:ptCount val="5"/>
                <c:pt idx="0">
                  <c:v>29.7400223</c:v>
                </c:pt>
                <c:pt idx="1">
                  <c:v>33.129966099999997</c:v>
                </c:pt>
                <c:pt idx="2">
                  <c:v>33.879057600000003</c:v>
                </c:pt>
                <c:pt idx="3">
                  <c:v>34.488031399999997</c:v>
                </c:pt>
                <c:pt idx="4">
                  <c:v>35.107377200000002</c:v>
                </c:pt>
              </c:numCache>
            </c:numRef>
          </c:yVal>
          <c:smooth val="1"/>
          <c:extLst>
            <c:ext xmlns:c16="http://schemas.microsoft.com/office/drawing/2014/chart" uri="{C3380CC4-5D6E-409C-BE32-E72D297353CC}">
              <c16:uniqueId val="{00000000-5AF9-4A14-BD44-A3FF9A550835}"/>
            </c:ext>
          </c:extLst>
        </c:ser>
        <c:ser>
          <c:idx val="1"/>
          <c:order val="1"/>
          <c:tx>
            <c:strRef>
              <c:f>Graphs!graph_g_B_title</c:f>
              <c:strCache>
                <c:ptCount val="1"/>
                <c:pt idx="0">
                  <c:v>F032_v4.0+orthoAtlas-uv</c:v>
                </c:pt>
              </c:strCache>
            </c:strRef>
          </c:tx>
          <c:spPr>
            <a:ln w="28575">
              <a:prstDash val="solid"/>
            </a:ln>
          </c:spPr>
          <c:marker>
            <c:symbol val="none"/>
          </c:marker>
          <c:xVal>
            <c:numRef>
              <c:f>Graphs!graph_g_x_range_B</c:f>
              <c:numCache>
                <c:formatCode>0.000</c:formatCode>
                <c:ptCount val="5"/>
                <c:pt idx="0">
                  <c:v>1.34097</c:v>
                </c:pt>
                <c:pt idx="1">
                  <c:v>4.4606325</c:v>
                </c:pt>
                <c:pt idx="2">
                  <c:v>6.2673525000000003</c:v>
                </c:pt>
                <c:pt idx="3">
                  <c:v>8.4629250000000003</c:v>
                </c:pt>
                <c:pt idx="4">
                  <c:v>13.995329999999999</c:v>
                </c:pt>
              </c:numCache>
            </c:numRef>
          </c:xVal>
          <c:yVal>
            <c:numRef>
              <c:f>Graphs!graph_g_y_range_B</c:f>
              <c:numCache>
                <c:formatCode>0.00</c:formatCode>
                <c:ptCount val="5"/>
                <c:pt idx="0">
                  <c:v>29.578984200000001</c:v>
                </c:pt>
                <c:pt idx="1">
                  <c:v>32.576799899999997</c:v>
                </c:pt>
                <c:pt idx="2">
                  <c:v>33.288001299999998</c:v>
                </c:pt>
                <c:pt idx="3">
                  <c:v>33.998237199999998</c:v>
                </c:pt>
                <c:pt idx="4">
                  <c:v>34.720430800000003</c:v>
                </c:pt>
              </c:numCache>
            </c:numRef>
          </c:yVal>
          <c:smooth val="1"/>
          <c:extLst>
            <c:ext xmlns:c16="http://schemas.microsoft.com/office/drawing/2014/chart" uri="{C3380CC4-5D6E-409C-BE32-E72D297353CC}">
              <c16:uniqueId val="{00000001-5AF9-4A14-BD44-A3FF9A550835}"/>
            </c:ext>
          </c:extLst>
        </c:ser>
        <c:dLbls>
          <c:showLegendKey val="0"/>
          <c:showVal val="0"/>
          <c:showCatName val="0"/>
          <c:showSerName val="0"/>
          <c:showPercent val="0"/>
          <c:showBubbleSize val="0"/>
        </c:dLbls>
        <c:axId val="50070001"/>
        <c:axId val="50070002"/>
      </c:scatterChart>
      <c:valAx>
        <c:axId val="50070001"/>
        <c:scaling>
          <c:orientation val="minMax"/>
        </c:scaling>
        <c:delete val="0"/>
        <c:axPos val="b"/>
        <c:majorGridlines>
          <c:spPr>
            <a:ln>
              <a:solidFill>
                <a:srgbClr val="DFDFDF"/>
              </a:solidFill>
              <a:prstDash val="solid"/>
            </a:ln>
          </c:spPr>
        </c:majorGridlines>
        <c:title>
          <c:tx>
            <c:strRef>
              <c:f>Graphs!graph_g_x_title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70002"/>
        <c:crosses val="autoZero"/>
        <c:crossBetween val="midCat"/>
      </c:valAx>
      <c:valAx>
        <c:axId val="50070002"/>
        <c:scaling>
          <c:orientation val="minMax"/>
        </c:scaling>
        <c:delete val="0"/>
        <c:axPos val="l"/>
        <c:majorGridlines>
          <c:spPr>
            <a:ln>
              <a:solidFill>
                <a:srgbClr val="DFDFDF"/>
              </a:solidFill>
              <a:prstDash val="solid"/>
            </a:ln>
          </c:spPr>
        </c:majorGridlines>
        <c:title>
          <c:tx>
            <c:strRef>
              <c:f>Graphs!graph_g_y_title</c:f>
              <c:strCache>
                <c:ptCount val="1"/>
                <c:pt idx="0">
                  <c:v>Luma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7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0</xdr:rowOff>
    </xdr:from>
    <xdr:to>
      <xdr:col>7</xdr:col>
      <xdr:colOff>276225</xdr:colOff>
      <xdr:row>32</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0</xdr:rowOff>
    </xdr:from>
    <xdr:to>
      <xdr:col>7</xdr:col>
      <xdr:colOff>276225</xdr:colOff>
      <xdr:row>54</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55</xdr:row>
      <xdr:rowOff>0</xdr:rowOff>
    </xdr:from>
    <xdr:to>
      <xdr:col>7</xdr:col>
      <xdr:colOff>276225</xdr:colOff>
      <xdr:row>76</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11</xdr:row>
      <xdr:rowOff>0</xdr:rowOff>
    </xdr:from>
    <xdr:to>
      <xdr:col>18</xdr:col>
      <xdr:colOff>257175</xdr:colOff>
      <xdr:row>32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33</xdr:row>
      <xdr:rowOff>0</xdr:rowOff>
    </xdr:from>
    <xdr:to>
      <xdr:col>18</xdr:col>
      <xdr:colOff>257175</xdr:colOff>
      <xdr:row>54</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55</xdr:row>
      <xdr:rowOff>0</xdr:rowOff>
    </xdr:from>
    <xdr:to>
      <xdr:col>18</xdr:col>
      <xdr:colOff>257175</xdr:colOff>
      <xdr:row>76</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0</xdr:colOff>
      <xdr:row>11</xdr:row>
      <xdr:rowOff>0</xdr:rowOff>
    </xdr:from>
    <xdr:to>
      <xdr:col>30</xdr:col>
      <xdr:colOff>152400</xdr:colOff>
      <xdr:row>32</xdr:row>
      <xdr:rowOff>114300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I36"/>
  <sheetViews>
    <sheetView workbookViewId="0">
      <selection activeCell="C3" sqref="C3"/>
    </sheetView>
  </sheetViews>
  <sheetFormatPr defaultColWidth="9.1796875" defaultRowHeight="14.5" x14ac:dyDescent="0.35"/>
  <cols>
    <col min="2" max="2" width="16.7265625" style="3" customWidth="1"/>
    <col min="3" max="9" width="24.7265625" style="3" customWidth="1"/>
  </cols>
  <sheetData>
    <row r="1" spans="2:9" x14ac:dyDescent="0.35">
      <c r="B1" t="s">
        <v>0</v>
      </c>
      <c r="C1" s="61" t="s">
        <v>376</v>
      </c>
      <c r="D1" s="62"/>
      <c r="E1" s="62"/>
    </row>
    <row r="2" spans="2:9" x14ac:dyDescent="0.35">
      <c r="B2" t="s">
        <v>1</v>
      </c>
      <c r="C2" s="63" t="s">
        <v>377</v>
      </c>
      <c r="D2" s="62"/>
      <c r="E2" s="62"/>
    </row>
    <row r="4" spans="2:9" s="1" customFormat="1" x14ac:dyDescent="0.35">
      <c r="B4" s="1" t="s">
        <v>2</v>
      </c>
    </row>
    <row r="6" spans="2:9" ht="45" customHeight="1" x14ac:dyDescent="0.35">
      <c r="B6" s="64" t="s">
        <v>3</v>
      </c>
      <c r="C6" s="55" t="s">
        <v>4</v>
      </c>
    </row>
    <row r="7" spans="2:9" x14ac:dyDescent="0.35">
      <c r="B7" s="62"/>
      <c r="C7" s="56" t="s">
        <v>5</v>
      </c>
    </row>
    <row r="8" spans="2:9" x14ac:dyDescent="0.35">
      <c r="B8" s="65"/>
      <c r="C8" s="2" t="s">
        <v>6</v>
      </c>
    </row>
    <row r="9" spans="2:9" x14ac:dyDescent="0.35">
      <c r="B9" t="s">
        <v>7</v>
      </c>
      <c r="C9" s="4">
        <f>'C0 lossless AI'!T13</f>
        <v>1.0016656127452586</v>
      </c>
    </row>
    <row r="10" spans="2:9" x14ac:dyDescent="0.35">
      <c r="B10" t="s">
        <v>8</v>
      </c>
      <c r="C10" s="4">
        <f>'C0 lossless AI'!T14</f>
        <v>1.0001191054351328</v>
      </c>
    </row>
    <row r="11" spans="2:9" x14ac:dyDescent="0.35">
      <c r="B11" t="s">
        <v>9</v>
      </c>
      <c r="C11" s="4">
        <f>'C0 lossless AI'!T15</f>
        <v>1.0030354047477521</v>
      </c>
    </row>
    <row r="12" spans="2:9" x14ac:dyDescent="0.35">
      <c r="B12" s="5" t="s">
        <v>10</v>
      </c>
      <c r="C12" s="6">
        <f>'C0 lossless AI'!T16</f>
        <v>1.0027211065422721</v>
      </c>
    </row>
    <row r="13" spans="2:9" x14ac:dyDescent="0.35">
      <c r="B13" t="s">
        <v>11</v>
      </c>
      <c r="C13" s="57">
        <f>'C0 lossless AI'!Q18</f>
        <v>0.90945321491763009</v>
      </c>
    </row>
    <row r="14" spans="2:9" x14ac:dyDescent="0.35">
      <c r="B14" s="7" t="s">
        <v>12</v>
      </c>
      <c r="C14" s="58">
        <f>'C0 lossless AI'!R18</f>
        <v>1.0904426120596948</v>
      </c>
    </row>
    <row r="16" spans="2:9" x14ac:dyDescent="0.35">
      <c r="B16" s="64" t="s">
        <v>13</v>
      </c>
      <c r="C16" s="66" t="s">
        <v>14</v>
      </c>
      <c r="D16" s="67"/>
      <c r="E16" s="67"/>
      <c r="F16" s="67"/>
      <c r="G16" s="67"/>
      <c r="H16" s="67"/>
      <c r="I16" s="67"/>
    </row>
    <row r="17" spans="2:9" x14ac:dyDescent="0.35">
      <c r="B17" s="62"/>
      <c r="C17" s="68" t="s">
        <v>15</v>
      </c>
      <c r="D17" s="62"/>
      <c r="E17" s="62"/>
      <c r="F17" s="62"/>
      <c r="G17" s="62"/>
      <c r="H17" s="69" t="s">
        <v>16</v>
      </c>
      <c r="I17" s="62"/>
    </row>
    <row r="18" spans="2:9" x14ac:dyDescent="0.35">
      <c r="B18" s="65"/>
      <c r="C18" s="2" t="s">
        <v>17</v>
      </c>
      <c r="D18" s="2" t="s">
        <v>18</v>
      </c>
      <c r="E18" s="2" t="s">
        <v>19</v>
      </c>
      <c r="F18" s="2" t="s">
        <v>20</v>
      </c>
      <c r="G18" s="2" t="s">
        <v>21</v>
      </c>
      <c r="H18" s="8" t="s">
        <v>22</v>
      </c>
      <c r="I18" s="8" t="s">
        <v>19</v>
      </c>
    </row>
    <row r="19" spans="2:9" x14ac:dyDescent="0.35">
      <c r="B19" t="s">
        <v>7</v>
      </c>
      <c r="C19" s="4">
        <f>'C1 lossy AI'!$AL$45:$AL$45</f>
        <v>-1.4094028264383662E-3</v>
      </c>
      <c r="D19" s="4">
        <f>'C1 lossy AI'!$AM$45:$AM$45</f>
        <v>-1.4376582086570999E-3</v>
      </c>
      <c r="E19" s="4">
        <f>'C1 lossy AI'!$AN$45:$AN$45</f>
        <v>0.1347430278807582</v>
      </c>
      <c r="F19" s="4">
        <f>'C1 lossy AI'!$AO$45:$AO$45</f>
        <v>0.1439082483989611</v>
      </c>
      <c r="G19" s="4">
        <f>'C1 lossy AI'!$AP$45:$AP$45</f>
        <v>0.14493961013990786</v>
      </c>
      <c r="H19" s="4">
        <f>'C1 lossy AI'!$AQ$45:$AQ$45</f>
        <v>-1.3145189130927548E-3</v>
      </c>
      <c r="I19" s="4">
        <f>'C1 lossy AI'!$AR$45:$AR$45</f>
        <v>7.3528655500077256E-2</v>
      </c>
    </row>
    <row r="20" spans="2:9" x14ac:dyDescent="0.35">
      <c r="B20" t="s">
        <v>8</v>
      </c>
      <c r="C20" s="4">
        <f>'C1 lossy AI'!$AL$46:$AL$46</f>
        <v>-1.1969811787728046E-2</v>
      </c>
      <c r="D20" s="4">
        <f>'C1 lossy AI'!$AM$46:$AM$46</f>
        <v>-1.1953366826298883E-2</v>
      </c>
      <c r="E20" s="4">
        <f>'C1 lossy AI'!$AN$46:$AN$46</f>
        <v>0.24380077174343939</v>
      </c>
      <c r="F20" s="4">
        <f>'C1 lossy AI'!$AO$46:$AO$46</f>
        <v>8.6703589177549611E-2</v>
      </c>
      <c r="G20" s="4">
        <f>'C1 lossy AI'!$AP$46:$AP$46</f>
        <v>0.14355362836893271</v>
      </c>
      <c r="H20" s="4">
        <f>'C1 lossy AI'!$AQ$46:$AQ$46</f>
        <v>-1.211609186481799E-2</v>
      </c>
      <c r="I20" s="4">
        <f>'C1 lossy AI'!$AR$46:$AR$46</f>
        <v>6.0367380311717289E-2</v>
      </c>
    </row>
    <row r="21" spans="2:9" x14ac:dyDescent="0.35">
      <c r="B21" t="s">
        <v>9</v>
      </c>
      <c r="C21" s="4">
        <f>'C1 lossy AI'!$AL$47:$AL$47</f>
        <v>-2.5692027737787115E-2</v>
      </c>
      <c r="D21" s="4">
        <f>'C1 lossy AI'!$AM$47:$AM$47</f>
        <v>-2.6195217701342671E-2</v>
      </c>
      <c r="E21" s="4">
        <f>'C1 lossy AI'!$AN$47:$AN$47</f>
        <v>8.8271636104733764E-2</v>
      </c>
      <c r="F21" s="4">
        <f>'C1 lossy AI'!$AO$47:$AO$47</f>
        <v>2.4813501667544702E-2</v>
      </c>
      <c r="G21" s="4">
        <f>'C1 lossy AI'!$AP$47:$AP$47</f>
        <v>0.13761973410895895</v>
      </c>
      <c r="H21" s="4">
        <f>'C1 lossy AI'!$AQ$47:$AQ$47</f>
        <v>-2.8092239109591244E-2</v>
      </c>
      <c r="I21" s="4">
        <f>'C1 lossy AI'!$AR$47:$AR$47</f>
        <v>3.0909304302392027E-2</v>
      </c>
    </row>
    <row r="22" spans="2:9" x14ac:dyDescent="0.35">
      <c r="B22" s="5" t="s">
        <v>10</v>
      </c>
      <c r="C22" s="6">
        <f>'C1 lossy AI'!$AL$48:$AL$48</f>
        <v>-1.6190817522435161E-2</v>
      </c>
      <c r="D22" s="6">
        <f>'C1 lossy AI'!$AM$48:$AM$48</f>
        <v>-1.6445365109410331E-2</v>
      </c>
      <c r="E22" s="6">
        <f>'C1 lossy AI'!$AN$48:$AN$48</f>
        <v>0.13877176795841628</v>
      </c>
      <c r="F22" s="6">
        <f>'C1 lossy AI'!$AO$48:$AO$48</f>
        <v>7.0059710227900029E-2</v>
      </c>
      <c r="G22" s="6">
        <f>'C1 lossy AI'!$AP$48:$AP$48</f>
        <v>0.14093317668168961</v>
      </c>
      <c r="H22" s="6">
        <f>'C1 lossy AI'!$AQ$48:$AQ$48</f>
        <v>-1.7403772249273308E-2</v>
      </c>
      <c r="I22" s="6">
        <f>'C1 lossy AI'!$AR$48:$AR$48</f>
        <v>4.892866110414465E-2</v>
      </c>
    </row>
    <row r="23" spans="2:9" x14ac:dyDescent="0.35">
      <c r="B23" t="s">
        <v>11</v>
      </c>
      <c r="C23" s="70">
        <f>'C1 lossy AI'!AI50</f>
        <v>0.82912293870304887</v>
      </c>
      <c r="D23" s="62"/>
      <c r="E23" s="62"/>
      <c r="F23" s="62"/>
      <c r="G23" s="62"/>
      <c r="H23" s="62"/>
      <c r="I23" s="62"/>
    </row>
    <row r="24" spans="2:9" x14ac:dyDescent="0.35">
      <c r="B24" s="7" t="s">
        <v>12</v>
      </c>
      <c r="C24" s="71">
        <f>'C1 lossy AI'!AJ50</f>
        <v>1.1128367940159278</v>
      </c>
      <c r="D24" s="65"/>
      <c r="E24" s="65"/>
      <c r="F24" s="65"/>
      <c r="G24" s="65"/>
      <c r="H24" s="65"/>
      <c r="I24" s="65"/>
    </row>
    <row r="26" spans="2:9" s="1" customFormat="1" x14ac:dyDescent="0.35">
      <c r="B26" s="1" t="s">
        <v>23</v>
      </c>
    </row>
    <row r="28" spans="2:9" x14ac:dyDescent="0.35">
      <c r="B28" s="64" t="s">
        <v>24</v>
      </c>
      <c r="C28" s="66" t="s">
        <v>25</v>
      </c>
      <c r="D28" s="67"/>
      <c r="E28" s="67"/>
      <c r="F28" s="67"/>
      <c r="G28" s="67"/>
      <c r="H28" s="67"/>
      <c r="I28" s="67"/>
    </row>
    <row r="29" spans="2:9" x14ac:dyDescent="0.35">
      <c r="B29" s="62"/>
      <c r="C29" s="68" t="s">
        <v>15</v>
      </c>
      <c r="D29" s="62"/>
      <c r="E29" s="62"/>
      <c r="F29" s="62"/>
      <c r="G29" s="62"/>
      <c r="H29" s="69" t="s">
        <v>16</v>
      </c>
      <c r="I29" s="62"/>
    </row>
    <row r="30" spans="2:9" x14ac:dyDescent="0.35">
      <c r="B30" s="65"/>
      <c r="C30" s="2" t="s">
        <v>17</v>
      </c>
      <c r="D30" s="2" t="s">
        <v>18</v>
      </c>
      <c r="E30" s="2" t="s">
        <v>19</v>
      </c>
      <c r="F30" s="2" t="s">
        <v>20</v>
      </c>
      <c r="G30" s="2" t="s">
        <v>21</v>
      </c>
      <c r="H30" s="8" t="s">
        <v>22</v>
      </c>
      <c r="I30" s="8" t="s">
        <v>19</v>
      </c>
    </row>
    <row r="31" spans="2:9" x14ac:dyDescent="0.35">
      <c r="B31" t="s">
        <v>7</v>
      </c>
      <c r="C31" s="4">
        <f>'C2 lossy RA'!$AL$45:$AL$45</f>
        <v>-4.234491113348765E-2</v>
      </c>
      <c r="D31" s="4">
        <f>'C2 lossy RA'!$AM$45:$AM$45</f>
        <v>-4.2059502276663385E-2</v>
      </c>
      <c r="E31" s="4">
        <f>'C2 lossy RA'!$AN$45:$AN$45</f>
        <v>0.3140897249854907</v>
      </c>
      <c r="F31" s="4">
        <f>'C2 lossy RA'!$AO$45:$AO$45</f>
        <v>0.22879998254087153</v>
      </c>
      <c r="G31" s="4">
        <f>'C2 lossy RA'!$AP$45:$AP$45</f>
        <v>0.23880864830994941</v>
      </c>
      <c r="H31" s="4">
        <f>'C2 lossy RA'!$AQ$45:$AQ$45</f>
        <v>-4.8669890590513576E-2</v>
      </c>
      <c r="I31" s="4">
        <f>'C2 lossy RA'!$AR$45:$AR$45</f>
        <v>0.1158968847198153</v>
      </c>
    </row>
    <row r="32" spans="2:9" x14ac:dyDescent="0.35">
      <c r="B32" t="s">
        <v>8</v>
      </c>
      <c r="C32" s="4">
        <f>'C2 lossy RA'!$AL$46:$AL$46</f>
        <v>-1.2035123820007543E-2</v>
      </c>
      <c r="D32" s="4">
        <f>'C2 lossy RA'!$AM$46:$AM$46</f>
        <v>-1.2019206899104684E-2</v>
      </c>
      <c r="E32" s="4">
        <f>'C2 lossy RA'!$AN$46:$AN$46</f>
        <v>0.24308709684363983</v>
      </c>
      <c r="F32" s="4">
        <f>'C2 lossy RA'!$AO$46:$AO$46</f>
        <v>8.5992474027254517E-2</v>
      </c>
      <c r="G32" s="4">
        <f>'C2 lossy RA'!$AP$46:$AP$46</f>
        <v>0.14287361052684333</v>
      </c>
      <c r="H32" s="4">
        <f>'C2 lossy RA'!$AQ$46:$AQ$46</f>
        <v>-1.2179090361638945E-2</v>
      </c>
      <c r="I32" s="4">
        <f>'C2 lossy RA'!$AR$46:$AR$46</f>
        <v>5.9932332347991224E-2</v>
      </c>
    </row>
    <row r="33" spans="2:9" x14ac:dyDescent="0.35">
      <c r="B33" t="s">
        <v>9</v>
      </c>
      <c r="C33" s="4">
        <f>'C2 lossy RA'!$AL$47:$AL$47</f>
        <v>-4.9804946735554245E-2</v>
      </c>
      <c r="D33" s="4">
        <f>'C2 lossy RA'!$AM$47:$AM$47</f>
        <v>-4.9755526568773467E-2</v>
      </c>
      <c r="E33" s="4">
        <f>'C2 lossy RA'!$AN$47:$AN$47</f>
        <v>8.9234004390301214E-2</v>
      </c>
      <c r="F33" s="4">
        <f>'C2 lossy RA'!$AO$47:$AO$47</f>
        <v>2.9581445442468879E-2</v>
      </c>
      <c r="G33" s="4">
        <f>'C2 lossy RA'!$AP$47:$AP$47</f>
        <v>6.3314055856405149E-2</v>
      </c>
      <c r="H33" s="4">
        <f>'C2 lossy RA'!$AQ$47:$AQ$47</f>
        <v>-5.1202071490419443E-2</v>
      </c>
      <c r="I33" s="4">
        <f>'C2 lossy RA'!$AR$47:$AR$47</f>
        <v>-4.7971757263419734E-3</v>
      </c>
    </row>
    <row r="34" spans="2:9" x14ac:dyDescent="0.35">
      <c r="B34" s="5" t="s">
        <v>10</v>
      </c>
      <c r="C34" s="6">
        <f>'C2 lossy RA'!$AL$48:$AL$48</f>
        <v>-3.8497482106150921E-2</v>
      </c>
      <c r="D34" s="6">
        <f>'C2 lossy RA'!$AM$48:$AM$48</f>
        <v>-3.8397440578328751E-2</v>
      </c>
      <c r="E34" s="6">
        <f>'C2 lossy RA'!$AN$48:$AN$48</f>
        <v>0.18391120765243324</v>
      </c>
      <c r="F34" s="6">
        <f>'C2 lossy RA'!$AO$48:$AO$48</f>
        <v>9.3488836863265951E-2</v>
      </c>
      <c r="G34" s="6">
        <f>'C2 lossy RA'!$AP$48:$AP$48</f>
        <v>0.12707759263740076</v>
      </c>
      <c r="H34" s="6">
        <f>'C2 lossy RA'!$AQ$48:$AQ$48</f>
        <v>-4.0813280983247852E-2</v>
      </c>
      <c r="I34" s="6">
        <f>'C2 lossy RA'!$AR$48:$AR$48</f>
        <v>4.1558716403780643E-2</v>
      </c>
    </row>
    <row r="35" spans="2:9" x14ac:dyDescent="0.35">
      <c r="B35" t="s">
        <v>11</v>
      </c>
      <c r="C35" s="70">
        <f>'C2 lossy RA'!AI50</f>
        <v>0.83809937881393204</v>
      </c>
      <c r="D35" s="62"/>
      <c r="E35" s="62"/>
      <c r="F35" s="62"/>
      <c r="G35" s="62"/>
      <c r="H35" s="62"/>
      <c r="I35" s="62"/>
    </row>
    <row r="36" spans="2:9" x14ac:dyDescent="0.35">
      <c r="B36" s="7" t="s">
        <v>12</v>
      </c>
      <c r="C36" s="71">
        <f>'C2 lossy RA'!AJ50</f>
        <v>1.0840453836499455</v>
      </c>
      <c r="D36" s="65"/>
      <c r="E36" s="65"/>
      <c r="F36" s="65"/>
      <c r="G36" s="65"/>
      <c r="H36" s="65"/>
      <c r="I36" s="65"/>
    </row>
  </sheetData>
  <mergeCells count="15">
    <mergeCell ref="C35:I35"/>
    <mergeCell ref="C36:I36"/>
    <mergeCell ref="C23:I23"/>
    <mergeCell ref="C24:I24"/>
    <mergeCell ref="B28:B30"/>
    <mergeCell ref="C28:I28"/>
    <mergeCell ref="C29:G29"/>
    <mergeCell ref="H29:I29"/>
    <mergeCell ref="C1:E1"/>
    <mergeCell ref="C2:E2"/>
    <mergeCell ref="B6:B8"/>
    <mergeCell ref="B16:B18"/>
    <mergeCell ref="C16:I16"/>
    <mergeCell ref="C17:G17"/>
    <mergeCell ref="H17:I17"/>
  </mergeCells>
  <conditionalFormatting sqref="C19 C20 C21 C22">
    <cfRule type="cellIs" dxfId="65" priority="15" operator="greaterThanOrEqual">
      <formula>0.03</formula>
    </cfRule>
    <cfRule type="cellIs" dxfId="64" priority="16" operator="lessThanOrEqual">
      <formula>-0.03</formula>
    </cfRule>
  </conditionalFormatting>
  <conditionalFormatting sqref="C31 C32 C33 C34">
    <cfRule type="cellIs" dxfId="63" priority="17" operator="greaterThanOrEqual">
      <formula>0.03</formula>
    </cfRule>
    <cfRule type="cellIs" dxfId="62" priority="18" operator="lessThanOrEqual">
      <formula>-0.03</formula>
    </cfRule>
  </conditionalFormatting>
  <conditionalFormatting sqref="C9 C10 C11 C12">
    <cfRule type="cellIs" dxfId="61" priority="1" operator="greaterThanOrEqual">
      <formula>1.03</formula>
    </cfRule>
    <cfRule type="cellIs" dxfId="60" priority="2" operator="lessThanOrEqual">
      <formula>0.97</formula>
    </cfRule>
  </conditionalFormatting>
  <conditionalFormatting sqref="D19 D20 D21 D22">
    <cfRule type="cellIs" dxfId="59" priority="11" operator="greaterThanOrEqual">
      <formula>0.03</formula>
    </cfRule>
    <cfRule type="cellIs" dxfId="58" priority="12" operator="lessThanOrEqual">
      <formula>-0.03</formula>
    </cfRule>
  </conditionalFormatting>
  <conditionalFormatting sqref="D31 D32 D33 D34">
    <cfRule type="cellIs" dxfId="57" priority="21" operator="greaterThanOrEqual">
      <formula>0.03</formula>
    </cfRule>
    <cfRule type="cellIs" dxfId="56" priority="22" operator="lessThanOrEqual">
      <formula>-0.03</formula>
    </cfRule>
  </conditionalFormatting>
  <conditionalFormatting sqref="E19 E20 E21 E22">
    <cfRule type="cellIs" dxfId="55" priority="5" operator="greaterThanOrEqual">
      <formula>0.03</formula>
    </cfRule>
    <cfRule type="cellIs" dxfId="54" priority="6" operator="lessThanOrEqual">
      <formula>-0.03</formula>
    </cfRule>
  </conditionalFormatting>
  <conditionalFormatting sqref="E31 E32 E33 E34">
    <cfRule type="cellIs" dxfId="53" priority="25" operator="greaterThanOrEqual">
      <formula>0.03</formula>
    </cfRule>
    <cfRule type="cellIs" dxfId="52" priority="26" operator="lessThanOrEqual">
      <formula>-0.03</formula>
    </cfRule>
  </conditionalFormatting>
  <conditionalFormatting sqref="F19 F20 F21 F22">
    <cfRule type="cellIs" dxfId="51" priority="3" operator="greaterThanOrEqual">
      <formula>0.03</formula>
    </cfRule>
    <cfRule type="cellIs" dxfId="50" priority="4" operator="lessThanOrEqual">
      <formula>-0.03</formula>
    </cfRule>
  </conditionalFormatting>
  <conditionalFormatting sqref="F31 F32 F33 F34">
    <cfRule type="cellIs" dxfId="49" priority="29" operator="greaterThanOrEqual">
      <formula>0.03</formula>
    </cfRule>
    <cfRule type="cellIs" dxfId="48" priority="30" operator="lessThanOrEqual">
      <formula>-0.03</formula>
    </cfRule>
  </conditionalFormatting>
  <conditionalFormatting sqref="G19 G20 G21 G22">
    <cfRule type="cellIs" dxfId="47" priority="13" operator="greaterThanOrEqual">
      <formula>0.03</formula>
    </cfRule>
    <cfRule type="cellIs" dxfId="46" priority="14" operator="lessThanOrEqual">
      <formula>-0.03</formula>
    </cfRule>
  </conditionalFormatting>
  <conditionalFormatting sqref="G31 G32 G33 G34">
    <cfRule type="cellIs" dxfId="45" priority="19" operator="greaterThanOrEqual">
      <formula>0.03</formula>
    </cfRule>
    <cfRule type="cellIs" dxfId="44" priority="20" operator="lessThanOrEqual">
      <formula>-0.03</formula>
    </cfRule>
  </conditionalFormatting>
  <conditionalFormatting sqref="H19 H20 H21 H22">
    <cfRule type="cellIs" dxfId="43" priority="9" operator="greaterThanOrEqual">
      <formula>0.03</formula>
    </cfRule>
    <cfRule type="cellIs" dxfId="42" priority="10" operator="lessThanOrEqual">
      <formula>-0.03</formula>
    </cfRule>
  </conditionalFormatting>
  <conditionalFormatting sqref="H31 H32 H33 H34">
    <cfRule type="cellIs" dxfId="41" priority="23" operator="greaterThanOrEqual">
      <formula>0.03</formula>
    </cfRule>
    <cfRule type="cellIs" dxfId="40" priority="24" operator="lessThanOrEqual">
      <formula>-0.03</formula>
    </cfRule>
  </conditionalFormatting>
  <conditionalFormatting sqref="I19 I20 I21 I22">
    <cfRule type="cellIs" dxfId="39" priority="7" operator="greaterThanOrEqual">
      <formula>0.03</formula>
    </cfRule>
    <cfRule type="cellIs" dxfId="38" priority="8" operator="lessThanOrEqual">
      <formula>-0.03</formula>
    </cfRule>
  </conditionalFormatting>
  <conditionalFormatting sqref="I31 I32 I33 I34">
    <cfRule type="cellIs" dxfId="37" priority="27" operator="greaterThanOrEqual">
      <formula>0.03</formula>
    </cfRule>
    <cfRule type="cellIs" dxfId="36" priority="28"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N49"/>
  <sheetViews>
    <sheetView tabSelected="1" zoomScale="55" zoomScaleNormal="55" workbookViewId="0">
      <selection activeCell="B2" sqref="B2"/>
    </sheetView>
  </sheetViews>
  <sheetFormatPr defaultColWidth="9.1796875" defaultRowHeight="14.5" x14ac:dyDescent="0.35"/>
  <cols>
    <col min="1" max="1" width="12.7265625" style="3" customWidth="1"/>
    <col min="2" max="2" width="24.7265625" style="3" customWidth="1"/>
    <col min="4" max="4" width="24.7265625" style="3" customWidth="1"/>
    <col min="9" max="9" width="16.7265625" style="3" customWidth="1"/>
  </cols>
  <sheetData>
    <row r="1" spans="1:14" x14ac:dyDescent="0.35">
      <c r="A1" t="s">
        <v>26</v>
      </c>
      <c r="B1" s="9" t="s">
        <v>30</v>
      </c>
      <c r="C1" t="s">
        <v>27</v>
      </c>
      <c r="I1" t="s">
        <v>28</v>
      </c>
      <c r="M1" t="s">
        <v>29</v>
      </c>
      <c r="N1" t="s">
        <v>30</v>
      </c>
    </row>
    <row r="2" spans="1:14" x14ac:dyDescent="0.35">
      <c r="A2" t="s">
        <v>31</v>
      </c>
      <c r="B2" s="9" t="s">
        <v>48</v>
      </c>
      <c r="C2" t="s">
        <v>33</v>
      </c>
      <c r="I2" t="s">
        <v>34</v>
      </c>
      <c r="J2" t="s">
        <v>35</v>
      </c>
      <c r="M2" t="s">
        <v>36</v>
      </c>
      <c r="N2" t="s">
        <v>37</v>
      </c>
    </row>
    <row r="3" spans="1:14" x14ac:dyDescent="0.35">
      <c r="I3" t="s">
        <v>38</v>
      </c>
      <c r="J3" t="s">
        <v>39</v>
      </c>
      <c r="M3" t="s">
        <v>40</v>
      </c>
      <c r="N3" t="s">
        <v>40</v>
      </c>
    </row>
    <row r="4" spans="1:14" x14ac:dyDescent="0.35">
      <c r="A4" t="s">
        <v>41</v>
      </c>
      <c r="B4" s="9" t="s">
        <v>42</v>
      </c>
      <c r="C4" t="s">
        <v>43</v>
      </c>
      <c r="D4" s="9" t="s">
        <v>44</v>
      </c>
      <c r="E4" t="s">
        <v>45</v>
      </c>
      <c r="I4" t="s">
        <v>46</v>
      </c>
      <c r="J4" t="s">
        <v>47</v>
      </c>
      <c r="M4" t="s">
        <v>48</v>
      </c>
      <c r="N4" t="s">
        <v>48</v>
      </c>
    </row>
    <row r="5" spans="1:14" x14ac:dyDescent="0.35">
      <c r="A5" t="s">
        <v>41</v>
      </c>
      <c r="B5" s="9" t="s">
        <v>42</v>
      </c>
      <c r="C5" t="s">
        <v>43</v>
      </c>
      <c r="D5" s="9" t="s">
        <v>49</v>
      </c>
      <c r="E5" t="s">
        <v>50</v>
      </c>
      <c r="I5" t="s">
        <v>51</v>
      </c>
      <c r="J5" t="s">
        <v>52</v>
      </c>
      <c r="M5" t="s">
        <v>53</v>
      </c>
      <c r="N5" t="s">
        <v>53</v>
      </c>
    </row>
    <row r="6" spans="1:14" x14ac:dyDescent="0.35">
      <c r="A6" t="s">
        <v>41</v>
      </c>
      <c r="B6" s="9" t="s">
        <v>42</v>
      </c>
      <c r="C6" t="s">
        <v>43</v>
      </c>
      <c r="D6" s="9" t="s">
        <v>54</v>
      </c>
      <c r="E6" t="s">
        <v>55</v>
      </c>
      <c r="I6" t="s">
        <v>56</v>
      </c>
      <c r="J6" t="s">
        <v>57</v>
      </c>
      <c r="M6" t="s">
        <v>58</v>
      </c>
      <c r="N6" t="s">
        <v>58</v>
      </c>
    </row>
    <row r="7" spans="1:14" x14ac:dyDescent="0.35">
      <c r="A7" t="s">
        <v>41</v>
      </c>
      <c r="B7" s="9" t="s">
        <v>42</v>
      </c>
      <c r="C7" t="s">
        <v>43</v>
      </c>
      <c r="D7" s="9" t="s">
        <v>59</v>
      </c>
      <c r="E7" t="s">
        <v>60</v>
      </c>
      <c r="I7" t="s">
        <v>61</v>
      </c>
      <c r="J7" t="s">
        <v>62</v>
      </c>
      <c r="M7" t="s">
        <v>63</v>
      </c>
      <c r="N7" t="s">
        <v>63</v>
      </c>
    </row>
    <row r="8" spans="1:14" x14ac:dyDescent="0.35">
      <c r="A8" t="s">
        <v>41</v>
      </c>
      <c r="B8" s="9" t="s">
        <v>42</v>
      </c>
      <c r="C8" t="s">
        <v>43</v>
      </c>
      <c r="D8" s="9" t="s">
        <v>64</v>
      </c>
      <c r="E8" t="s">
        <v>65</v>
      </c>
      <c r="I8" t="s">
        <v>66</v>
      </c>
      <c r="J8" t="s">
        <v>67</v>
      </c>
      <c r="M8" t="s">
        <v>68</v>
      </c>
      <c r="N8" t="s">
        <v>68</v>
      </c>
    </row>
    <row r="9" spans="1:14" x14ac:dyDescent="0.35">
      <c r="A9" t="s">
        <v>41</v>
      </c>
      <c r="B9" s="9" t="s">
        <v>42</v>
      </c>
      <c r="C9" t="s">
        <v>43</v>
      </c>
      <c r="D9" s="9" t="s">
        <v>69</v>
      </c>
      <c r="E9" t="s">
        <v>70</v>
      </c>
      <c r="I9" t="s">
        <v>71</v>
      </c>
      <c r="J9" t="s">
        <v>72</v>
      </c>
      <c r="M9" t="s">
        <v>32</v>
      </c>
      <c r="N9" t="s">
        <v>32</v>
      </c>
    </row>
    <row r="10" spans="1:14" x14ac:dyDescent="0.35">
      <c r="A10" t="s">
        <v>41</v>
      </c>
      <c r="B10" s="9" t="s">
        <v>42</v>
      </c>
      <c r="C10" t="s">
        <v>43</v>
      </c>
      <c r="D10" s="9" t="s">
        <v>73</v>
      </c>
      <c r="E10" t="s">
        <v>74</v>
      </c>
      <c r="I10" t="s">
        <v>75</v>
      </c>
      <c r="J10" t="s">
        <v>76</v>
      </c>
      <c r="M10" t="s">
        <v>77</v>
      </c>
      <c r="N10" t="s">
        <v>77</v>
      </c>
    </row>
    <row r="11" spans="1:14" x14ac:dyDescent="0.35">
      <c r="I11" t="s">
        <v>54</v>
      </c>
      <c r="J11" t="s">
        <v>78</v>
      </c>
    </row>
    <row r="12" spans="1:14" x14ac:dyDescent="0.35">
      <c r="I12" t="s">
        <v>73</v>
      </c>
      <c r="J12" t="s">
        <v>79</v>
      </c>
    </row>
    <row r="13" spans="1:14" x14ac:dyDescent="0.35">
      <c r="I13" t="s">
        <v>80</v>
      </c>
      <c r="J13" t="s">
        <v>81</v>
      </c>
    </row>
    <row r="14" spans="1:14" x14ac:dyDescent="0.35">
      <c r="I14" t="s">
        <v>82</v>
      </c>
      <c r="J14" t="s">
        <v>83</v>
      </c>
    </row>
    <row r="15" spans="1:14" x14ac:dyDescent="0.35">
      <c r="I15" t="s">
        <v>84</v>
      </c>
      <c r="J15" t="s">
        <v>85</v>
      </c>
    </row>
    <row r="16" spans="1:14" x14ac:dyDescent="0.35">
      <c r="I16" t="s">
        <v>86</v>
      </c>
      <c r="J16" t="s">
        <v>87</v>
      </c>
    </row>
    <row r="17" spans="9:10" x14ac:dyDescent="0.35">
      <c r="I17" t="s">
        <v>64</v>
      </c>
      <c r="J17" t="s">
        <v>88</v>
      </c>
    </row>
    <row r="18" spans="9:10" x14ac:dyDescent="0.35">
      <c r="I18" t="s">
        <v>69</v>
      </c>
      <c r="J18" t="s">
        <v>89</v>
      </c>
    </row>
    <row r="19" spans="9:10" x14ac:dyDescent="0.35">
      <c r="I19" t="s">
        <v>44</v>
      </c>
      <c r="J19" t="s">
        <v>90</v>
      </c>
    </row>
    <row r="20" spans="9:10" x14ac:dyDescent="0.35">
      <c r="I20" t="s">
        <v>49</v>
      </c>
      <c r="J20" t="s">
        <v>91</v>
      </c>
    </row>
    <row r="21" spans="9:10" x14ac:dyDescent="0.35">
      <c r="I21" t="s">
        <v>59</v>
      </c>
      <c r="J21" t="s">
        <v>92</v>
      </c>
    </row>
    <row r="22" spans="9:10" x14ac:dyDescent="0.35">
      <c r="I22" t="s">
        <v>93</v>
      </c>
      <c r="J22" t="s">
        <v>94</v>
      </c>
    </row>
    <row r="23" spans="9:10" x14ac:dyDescent="0.35">
      <c r="I23" t="s">
        <v>95</v>
      </c>
      <c r="J23" t="s">
        <v>96</v>
      </c>
    </row>
    <row r="24" spans="9:10" x14ac:dyDescent="0.35">
      <c r="I24" t="s">
        <v>97</v>
      </c>
      <c r="J24" t="s">
        <v>98</v>
      </c>
    </row>
    <row r="25" spans="9:10" x14ac:dyDescent="0.35">
      <c r="I25" t="s">
        <v>99</v>
      </c>
      <c r="J25" t="s">
        <v>100</v>
      </c>
    </row>
    <row r="26" spans="9:10" x14ac:dyDescent="0.35">
      <c r="I26" t="s">
        <v>101</v>
      </c>
      <c r="J26" t="s">
        <v>102</v>
      </c>
    </row>
    <row r="27" spans="9:10" x14ac:dyDescent="0.35">
      <c r="I27" t="s">
        <v>103</v>
      </c>
      <c r="J27" t="s">
        <v>104</v>
      </c>
    </row>
    <row r="28" spans="9:10" x14ac:dyDescent="0.35">
      <c r="I28" t="s">
        <v>105</v>
      </c>
      <c r="J28" t="s">
        <v>106</v>
      </c>
    </row>
    <row r="29" spans="9:10" x14ac:dyDescent="0.35">
      <c r="I29" t="s">
        <v>107</v>
      </c>
      <c r="J29" t="s">
        <v>108</v>
      </c>
    </row>
    <row r="30" spans="9:10" x14ac:dyDescent="0.35">
      <c r="I30" t="s">
        <v>109</v>
      </c>
      <c r="J30" t="s">
        <v>110</v>
      </c>
    </row>
    <row r="31" spans="9:10" x14ac:dyDescent="0.35">
      <c r="I31" t="s">
        <v>111</v>
      </c>
      <c r="J31" t="s">
        <v>112</v>
      </c>
    </row>
    <row r="32" spans="9:10" x14ac:dyDescent="0.35">
      <c r="I32" t="s">
        <v>113</v>
      </c>
      <c r="J32" t="s">
        <v>114</v>
      </c>
    </row>
    <row r="33" spans="9:10" x14ac:dyDescent="0.35">
      <c r="I33" t="s">
        <v>115</v>
      </c>
      <c r="J33" t="s">
        <v>116</v>
      </c>
    </row>
    <row r="34" spans="9:10" x14ac:dyDescent="0.35">
      <c r="I34" t="s">
        <v>117</v>
      </c>
      <c r="J34" t="s">
        <v>118</v>
      </c>
    </row>
    <row r="35" spans="9:10" x14ac:dyDescent="0.35">
      <c r="I35" t="s">
        <v>119</v>
      </c>
      <c r="J35" t="s">
        <v>120</v>
      </c>
    </row>
    <row r="36" spans="9:10" x14ac:dyDescent="0.35">
      <c r="I36" t="s">
        <v>121</v>
      </c>
      <c r="J36" t="s">
        <v>122</v>
      </c>
    </row>
    <row r="37" spans="9:10" x14ac:dyDescent="0.35">
      <c r="I37" t="s">
        <v>123</v>
      </c>
      <c r="J37" t="s">
        <v>124</v>
      </c>
    </row>
    <row r="38" spans="9:10" x14ac:dyDescent="0.35">
      <c r="I38" t="s">
        <v>125</v>
      </c>
      <c r="J38" t="s">
        <v>126</v>
      </c>
    </row>
    <row r="39" spans="9:10" x14ac:dyDescent="0.35">
      <c r="I39" t="s">
        <v>127</v>
      </c>
      <c r="J39" t="s">
        <v>128</v>
      </c>
    </row>
    <row r="40" spans="9:10" x14ac:dyDescent="0.35">
      <c r="I40" t="s">
        <v>42</v>
      </c>
      <c r="J40" t="s">
        <v>129</v>
      </c>
    </row>
    <row r="41" spans="9:10" x14ac:dyDescent="0.35">
      <c r="I41" t="s">
        <v>130</v>
      </c>
      <c r="J41" t="s">
        <v>131</v>
      </c>
    </row>
    <row r="42" spans="9:10" x14ac:dyDescent="0.35">
      <c r="I42" t="s">
        <v>132</v>
      </c>
      <c r="J42" t="s">
        <v>133</v>
      </c>
    </row>
    <row r="43" spans="9:10" x14ac:dyDescent="0.35">
      <c r="I43" t="s">
        <v>134</v>
      </c>
      <c r="J43" t="s">
        <v>135</v>
      </c>
    </row>
    <row r="44" spans="9:10" x14ac:dyDescent="0.35">
      <c r="I44" t="s">
        <v>136</v>
      </c>
      <c r="J44" t="s">
        <v>137</v>
      </c>
    </row>
    <row r="45" spans="9:10" x14ac:dyDescent="0.35">
      <c r="I45" t="s">
        <v>138</v>
      </c>
      <c r="J45" t="s">
        <v>139</v>
      </c>
    </row>
    <row r="46" spans="9:10" x14ac:dyDescent="0.35">
      <c r="I46" t="s">
        <v>140</v>
      </c>
      <c r="J46" t="s">
        <v>141</v>
      </c>
    </row>
    <row r="47" spans="9:10" x14ac:dyDescent="0.35">
      <c r="I47" t="s">
        <v>142</v>
      </c>
      <c r="J47" t="s">
        <v>143</v>
      </c>
    </row>
    <row r="48" spans="9:10" x14ac:dyDescent="0.35">
      <c r="I48" t="s">
        <v>144</v>
      </c>
      <c r="J48" t="s">
        <v>145</v>
      </c>
    </row>
    <row r="49" spans="9:10" x14ac:dyDescent="0.35">
      <c r="I49" t="s">
        <v>146</v>
      </c>
      <c r="J49" t="s">
        <v>147</v>
      </c>
    </row>
  </sheetData>
  <conditionalFormatting sqref="B2">
    <cfRule type="expression" dxfId="35" priority="1">
      <formula>ISNA(MATCH(B2,OFFSET(M:M,2,MATCH(B1,M1:ZZ1,0)-1,COUNTA(INDEX(M:ZZ,,MATCH(B1,M1:ZZ1,0)))-2),0))</formula>
    </cfRule>
  </conditionalFormatting>
  <conditionalFormatting sqref="B4 D4 B5 D5 B6 D6 B7 D7 B8 D8 B9 D9 B10 D10">
    <cfRule type="expression" dxfId="34"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10 D4:D10"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U18"/>
  <sheetViews>
    <sheetView zoomScaleNormal="100" workbookViewId="0">
      <pane xSplit="2" ySplit="4" topLeftCell="I5" activePane="bottomRight" state="frozen"/>
      <selection pane="topRight" activeCell="C1" sqref="C1"/>
      <selection pane="bottomLeft" activeCell="A5" sqref="A5"/>
      <selection pane="bottomRight" activeCell="P5" sqref="P5:R12"/>
    </sheetView>
  </sheetViews>
  <sheetFormatPr defaultColWidth="9.1796875" defaultRowHeight="14.5" x14ac:dyDescent="0.35"/>
  <cols>
    <col min="2" max="2" width="24.7265625" style="3" customWidth="1"/>
    <col min="3" max="4" width="10.7265625" style="3" customWidth="1"/>
    <col min="7" max="7" width="1.7265625" style="3" customWidth="1"/>
    <col min="9" max="9" width="10.7265625" style="3" customWidth="1"/>
    <col min="10" max="10" width="12.7265625" style="3" customWidth="1"/>
    <col min="13" max="13" width="1.7265625" style="3" customWidth="1"/>
    <col min="15" max="15" width="10.7265625" style="3" customWidth="1"/>
    <col min="16" max="16" width="12.7265625" style="3" customWidth="1"/>
    <col min="19" max="19" width="1.7265625" style="3" customWidth="1"/>
    <col min="21" max="21" width="1.7265625" style="3" customWidth="1"/>
  </cols>
  <sheetData>
    <row r="1" spans="1:20" x14ac:dyDescent="0.35">
      <c r="A1" s="73" t="s">
        <v>148</v>
      </c>
      <c r="B1" s="62"/>
      <c r="C1" s="62"/>
      <c r="D1" s="62"/>
      <c r="E1" s="62"/>
      <c r="F1" s="62"/>
      <c r="H1" s="61" t="str">
        <f>Summary!C1</f>
        <v>F032_v4.0 (no integration)</v>
      </c>
      <c r="I1" s="62"/>
      <c r="J1" s="62"/>
      <c r="K1" s="62"/>
      <c r="L1" s="62"/>
      <c r="N1" s="63" t="str">
        <f>Summary!C2</f>
        <v>F032_v4.0+orthoAtlas-uv</v>
      </c>
      <c r="O1" s="62"/>
      <c r="P1" s="62"/>
      <c r="Q1" s="62"/>
      <c r="R1" s="62"/>
    </row>
    <row r="2" spans="1:20" ht="30" customHeight="1" x14ac:dyDescent="0.35">
      <c r="A2" s="72" t="s">
        <v>149</v>
      </c>
      <c r="B2" s="74" t="s">
        <v>150</v>
      </c>
      <c r="C2" s="72" t="s">
        <v>151</v>
      </c>
      <c r="D2" s="74" t="s">
        <v>152</v>
      </c>
      <c r="E2" s="72" t="s">
        <v>153</v>
      </c>
      <c r="F2" s="74" t="s">
        <v>154</v>
      </c>
      <c r="H2" s="72" t="s">
        <v>129</v>
      </c>
      <c r="I2" s="74" t="s">
        <v>133</v>
      </c>
      <c r="J2" s="72" t="s">
        <v>122</v>
      </c>
      <c r="K2" s="74" t="s">
        <v>124</v>
      </c>
      <c r="L2" s="72" t="s">
        <v>104</v>
      </c>
      <c r="N2" s="74" t="s">
        <v>129</v>
      </c>
      <c r="O2" s="72" t="s">
        <v>133</v>
      </c>
      <c r="P2" s="74" t="s">
        <v>122</v>
      </c>
      <c r="Q2" s="72" t="s">
        <v>124</v>
      </c>
      <c r="R2" s="74" t="s">
        <v>104</v>
      </c>
      <c r="T2" s="72" t="s">
        <v>155</v>
      </c>
    </row>
    <row r="3" spans="1:20" x14ac:dyDescent="0.35">
      <c r="A3" s="65"/>
      <c r="B3" s="65"/>
      <c r="C3" s="65"/>
      <c r="D3" s="65"/>
      <c r="E3" s="65"/>
      <c r="F3" s="65"/>
      <c r="H3" s="65"/>
      <c r="I3" s="65"/>
      <c r="J3" s="65"/>
      <c r="K3" s="65"/>
      <c r="L3" s="65"/>
      <c r="N3" s="65"/>
      <c r="O3" s="65"/>
      <c r="P3" s="65"/>
      <c r="Q3" s="65"/>
      <c r="R3" s="65"/>
      <c r="T3" s="65"/>
    </row>
    <row r="4" spans="1:20" ht="48" hidden="1" customHeight="1" x14ac:dyDescent="0.35">
      <c r="A4" s="10" t="s">
        <v>156</v>
      </c>
      <c r="B4" s="11" t="s">
        <v>157</v>
      </c>
      <c r="C4" s="10" t="s">
        <v>158</v>
      </c>
      <c r="D4" s="11" t="s">
        <v>159</v>
      </c>
      <c r="E4" s="10" t="s">
        <v>160</v>
      </c>
      <c r="F4" s="11" t="s">
        <v>161</v>
      </c>
      <c r="H4" s="10" t="s">
        <v>162</v>
      </c>
      <c r="I4" s="11" t="s">
        <v>163</v>
      </c>
      <c r="J4" s="10" t="s">
        <v>164</v>
      </c>
      <c r="K4" s="11" t="s">
        <v>165</v>
      </c>
      <c r="L4" s="10" t="s">
        <v>166</v>
      </c>
      <c r="N4" s="11" t="s">
        <v>167</v>
      </c>
      <c r="O4" s="10" t="s">
        <v>168</v>
      </c>
      <c r="P4" s="11" t="s">
        <v>169</v>
      </c>
      <c r="Q4" s="10" t="s">
        <v>170</v>
      </c>
      <c r="R4" s="11" t="s">
        <v>171</v>
      </c>
      <c r="T4" s="10" t="s">
        <v>172</v>
      </c>
    </row>
    <row r="5" spans="1:20" collapsed="1" x14ac:dyDescent="0.35">
      <c r="A5" s="12" t="s">
        <v>173</v>
      </c>
      <c r="B5" s="12" t="s">
        <v>40</v>
      </c>
      <c r="C5" s="12">
        <v>11997440</v>
      </c>
      <c r="D5" s="13">
        <v>10</v>
      </c>
      <c r="E5" s="14">
        <v>32</v>
      </c>
      <c r="F5" s="14">
        <v>30</v>
      </c>
      <c r="H5" s="15">
        <f t="shared" ref="H5:H12" si="0">IF(OR(ISBLANK(J5),ISBLANK(F5)),"·",J5*F5/E5/1000000)</f>
        <v>882.34208999999998</v>
      </c>
      <c r="I5" s="16">
        <f t="shared" ref="I5:I12" si="1">IF(ISBLANK(J5),"·",J5/C5)</f>
        <v>78.447143390589986</v>
      </c>
      <c r="J5" s="17">
        <v>941164896</v>
      </c>
      <c r="K5" s="18">
        <v>2912</v>
      </c>
      <c r="L5" s="18">
        <v>42.349598</v>
      </c>
      <c r="N5" s="15">
        <f t="shared" ref="N5:N12" si="2">IF(OR(ISBLANK(P5),ISBLANK(F5)),"·",P5*F5/E5/1000000)</f>
        <v>883.36526249999997</v>
      </c>
      <c r="O5" s="16">
        <f t="shared" ref="O5:O12" si="3">IF(ISBLANK(P5),"·",P5/C5)</f>
        <v>78.538111463778947</v>
      </c>
      <c r="P5" s="17">
        <v>942256280</v>
      </c>
      <c r="Q5" s="18">
        <v>3083</v>
      </c>
      <c r="R5" s="18">
        <v>39.147269000000001</v>
      </c>
      <c r="T5" s="19">
        <f t="shared" ref="T5:T16" si="4">O5/I5</f>
        <v>1.001159609760881</v>
      </c>
    </row>
    <row r="6" spans="1:20" collapsed="1" x14ac:dyDescent="0.35">
      <c r="A6" s="20"/>
      <c r="B6" s="20" t="s">
        <v>48</v>
      </c>
      <c r="C6" s="20">
        <v>9000000</v>
      </c>
      <c r="D6" s="21">
        <v>10</v>
      </c>
      <c r="E6" s="22">
        <v>32</v>
      </c>
      <c r="F6" s="22">
        <v>30</v>
      </c>
      <c r="H6" s="23">
        <f t="shared" si="0"/>
        <v>653.96068500000001</v>
      </c>
      <c r="I6" s="24">
        <f t="shared" si="1"/>
        <v>77.506451555555557</v>
      </c>
      <c r="J6" s="25">
        <v>697558064</v>
      </c>
      <c r="K6" s="26">
        <v>2819</v>
      </c>
      <c r="L6" s="26">
        <v>35.848987999999999</v>
      </c>
      <c r="N6" s="23">
        <f t="shared" si="2"/>
        <v>655.38485249999997</v>
      </c>
      <c r="O6" s="24">
        <f t="shared" si="3"/>
        <v>77.675241777777771</v>
      </c>
      <c r="P6" s="25">
        <v>699077176</v>
      </c>
      <c r="Q6" s="26">
        <v>3017</v>
      </c>
      <c r="R6" s="26">
        <v>33.522683000000001</v>
      </c>
      <c r="T6" s="27">
        <f t="shared" si="4"/>
        <v>1.0021777570619554</v>
      </c>
    </row>
    <row r="7" spans="1:20" collapsed="1" x14ac:dyDescent="0.35">
      <c r="A7" s="12" t="s">
        <v>174</v>
      </c>
      <c r="B7" s="12" t="s">
        <v>53</v>
      </c>
      <c r="C7" s="12">
        <v>11842002</v>
      </c>
      <c r="D7" s="13">
        <v>12</v>
      </c>
      <c r="E7" s="14">
        <v>32</v>
      </c>
      <c r="F7" s="14">
        <v>30</v>
      </c>
      <c r="H7" s="15">
        <f t="shared" si="0"/>
        <v>608.64993749999996</v>
      </c>
      <c r="I7" s="16">
        <f t="shared" si="1"/>
        <v>54.824057621338014</v>
      </c>
      <c r="J7" s="17">
        <v>649226600</v>
      </c>
      <c r="K7" s="18">
        <v>2285</v>
      </c>
      <c r="L7" s="18">
        <v>33.042569999999998</v>
      </c>
      <c r="N7" s="15">
        <f t="shared" si="2"/>
        <v>608.73064499999998</v>
      </c>
      <c r="O7" s="16">
        <f t="shared" si="3"/>
        <v>54.831327338063275</v>
      </c>
      <c r="P7" s="17">
        <v>649312688</v>
      </c>
      <c r="Q7" s="18">
        <v>2193</v>
      </c>
      <c r="R7" s="18">
        <v>31.126524</v>
      </c>
      <c r="T7" s="19">
        <f t="shared" si="4"/>
        <v>1.0001326008515363</v>
      </c>
    </row>
    <row r="8" spans="1:20" collapsed="1" x14ac:dyDescent="0.35">
      <c r="A8" s="20"/>
      <c r="B8" s="20" t="s">
        <v>58</v>
      </c>
      <c r="C8" s="20">
        <v>11812090</v>
      </c>
      <c r="D8" s="21">
        <v>12</v>
      </c>
      <c r="E8" s="22">
        <v>32</v>
      </c>
      <c r="F8" s="22">
        <v>50</v>
      </c>
      <c r="H8" s="23">
        <f t="shared" si="0"/>
        <v>993.80766249999999</v>
      </c>
      <c r="I8" s="24">
        <f t="shared" si="1"/>
        <v>53.846262939073441</v>
      </c>
      <c r="J8" s="25">
        <v>636036904</v>
      </c>
      <c r="K8" s="26">
        <v>2251</v>
      </c>
      <c r="L8" s="26">
        <v>32.108207</v>
      </c>
      <c r="N8" s="23">
        <f t="shared" si="2"/>
        <v>993.912375</v>
      </c>
      <c r="O8" s="24">
        <f t="shared" si="3"/>
        <v>53.851936448164551</v>
      </c>
      <c r="P8" s="25">
        <v>636103920</v>
      </c>
      <c r="Q8" s="26">
        <v>2146</v>
      </c>
      <c r="R8" s="26">
        <v>30.716255</v>
      </c>
      <c r="T8" s="27">
        <f t="shared" si="4"/>
        <v>1.0001053649553644</v>
      </c>
    </row>
    <row r="9" spans="1:20" collapsed="1" x14ac:dyDescent="0.35">
      <c r="A9" s="12" t="s">
        <v>175</v>
      </c>
      <c r="B9" s="12" t="s">
        <v>63</v>
      </c>
      <c r="C9" s="12">
        <v>12000000</v>
      </c>
      <c r="D9" s="13">
        <v>12</v>
      </c>
      <c r="E9" s="14">
        <v>32</v>
      </c>
      <c r="F9" s="14">
        <v>30</v>
      </c>
      <c r="H9" s="15">
        <f t="shared" si="0"/>
        <v>2943.1150275</v>
      </c>
      <c r="I9" s="16">
        <f t="shared" si="1"/>
        <v>261.61022466666668</v>
      </c>
      <c r="J9" s="17">
        <v>3139322696</v>
      </c>
      <c r="K9" s="18">
        <v>11620</v>
      </c>
      <c r="L9" s="18">
        <v>117.22601299999999</v>
      </c>
      <c r="N9" s="15">
        <f t="shared" si="2"/>
        <v>2946.7461750000002</v>
      </c>
      <c r="O9" s="16">
        <f t="shared" si="3"/>
        <v>261.93299333333334</v>
      </c>
      <c r="P9" s="17">
        <v>3143195920</v>
      </c>
      <c r="Q9" s="18">
        <v>10591</v>
      </c>
      <c r="R9" s="18">
        <v>122.928391</v>
      </c>
      <c r="T9" s="19">
        <f t="shared" si="4"/>
        <v>1.0012337769560724</v>
      </c>
    </row>
    <row r="10" spans="1:20" collapsed="1" x14ac:dyDescent="0.35">
      <c r="A10" s="28"/>
      <c r="B10" s="28" t="s">
        <v>68</v>
      </c>
      <c r="C10" s="28">
        <v>5997654</v>
      </c>
      <c r="D10" s="29">
        <v>12</v>
      </c>
      <c r="E10" s="30">
        <v>32</v>
      </c>
      <c r="F10" s="30">
        <v>30</v>
      </c>
      <c r="H10" s="31">
        <f t="shared" si="0"/>
        <v>2401.1937899999998</v>
      </c>
      <c r="I10" s="32">
        <f t="shared" si="1"/>
        <v>427.04587093553579</v>
      </c>
      <c r="J10" s="33">
        <v>2561273376</v>
      </c>
      <c r="K10" s="34">
        <v>13322</v>
      </c>
      <c r="L10" s="34">
        <v>116.48571800000001</v>
      </c>
      <c r="N10" s="31">
        <f t="shared" si="2"/>
        <v>2422.6029225000002</v>
      </c>
      <c r="O10" s="32">
        <f t="shared" si="3"/>
        <v>430.85342769022685</v>
      </c>
      <c r="P10" s="33">
        <v>2584109784</v>
      </c>
      <c r="Q10" s="34">
        <v>13066</v>
      </c>
      <c r="R10" s="34">
        <v>186.45306099999999</v>
      </c>
      <c r="T10" s="35">
        <f t="shared" si="4"/>
        <v>1.008916036926782</v>
      </c>
    </row>
    <row r="11" spans="1:20" collapsed="1" x14ac:dyDescent="0.35">
      <c r="A11" s="12"/>
      <c r="B11" s="12" t="s">
        <v>32</v>
      </c>
      <c r="C11" s="12">
        <v>9000000</v>
      </c>
      <c r="D11" s="13">
        <v>12</v>
      </c>
      <c r="E11" s="14">
        <v>32</v>
      </c>
      <c r="F11" s="14">
        <v>30</v>
      </c>
      <c r="H11" s="15">
        <f t="shared" si="0"/>
        <v>3592.8234375000002</v>
      </c>
      <c r="I11" s="16">
        <f t="shared" si="1"/>
        <v>425.81611111111113</v>
      </c>
      <c r="J11" s="17">
        <v>3832345000</v>
      </c>
      <c r="K11" s="18">
        <v>11703</v>
      </c>
      <c r="L11" s="18">
        <v>129.06204399999999</v>
      </c>
      <c r="N11" s="15">
        <f t="shared" si="2"/>
        <v>3593.7148275</v>
      </c>
      <c r="O11" s="16">
        <f t="shared" si="3"/>
        <v>425.92175733333335</v>
      </c>
      <c r="P11" s="17">
        <v>3833295816</v>
      </c>
      <c r="Q11" s="18">
        <v>9648</v>
      </c>
      <c r="R11" s="18">
        <v>130.435203</v>
      </c>
      <c r="T11" s="19">
        <f t="shared" si="4"/>
        <v>1.0002481029239279</v>
      </c>
    </row>
    <row r="12" spans="1:20" collapsed="1" x14ac:dyDescent="0.35">
      <c r="A12" s="20"/>
      <c r="B12" s="20" t="s">
        <v>77</v>
      </c>
      <c r="C12" s="20">
        <v>9000000</v>
      </c>
      <c r="D12" s="21">
        <v>12</v>
      </c>
      <c r="E12" s="22">
        <v>32</v>
      </c>
      <c r="F12" s="22">
        <v>30</v>
      </c>
      <c r="H12" s="23">
        <f t="shared" si="0"/>
        <v>2606.4784125000001</v>
      </c>
      <c r="I12" s="24">
        <f t="shared" si="1"/>
        <v>308.91595999999998</v>
      </c>
      <c r="J12" s="25">
        <v>2780243640</v>
      </c>
      <c r="K12" s="26">
        <v>11301</v>
      </c>
      <c r="L12" s="26">
        <v>110.968272</v>
      </c>
      <c r="N12" s="23">
        <f t="shared" si="2"/>
        <v>2607.1921200000002</v>
      </c>
      <c r="O12" s="24">
        <f t="shared" si="3"/>
        <v>309.00054755555556</v>
      </c>
      <c r="P12" s="25">
        <v>2781004928</v>
      </c>
      <c r="Q12" s="26">
        <v>9198</v>
      </c>
      <c r="R12" s="26">
        <v>98.573383000000007</v>
      </c>
      <c r="T12" s="27">
        <f t="shared" si="4"/>
        <v>1.0002738206065998</v>
      </c>
    </row>
    <row r="13" spans="1:20" x14ac:dyDescent="0.35">
      <c r="B13" s="36" t="s">
        <v>7</v>
      </c>
      <c r="I13" s="37">
        <f>AVERAGE(I5:I6)</f>
        <v>77.976797473072764</v>
      </c>
      <c r="O13" s="37">
        <f>AVERAGE(O5:O6)</f>
        <v>78.106676620778359</v>
      </c>
      <c r="T13" s="4">
        <f t="shared" si="4"/>
        <v>1.0016656127452586</v>
      </c>
    </row>
    <row r="14" spans="1:20" x14ac:dyDescent="0.35">
      <c r="B14" s="36" t="s">
        <v>8</v>
      </c>
      <c r="I14" s="37">
        <f>AVERAGE(I7:I8)</f>
        <v>54.335160280205727</v>
      </c>
      <c r="O14" s="37">
        <f>AVERAGE(O7:O8)</f>
        <v>54.341631893113913</v>
      </c>
      <c r="T14" s="4">
        <f t="shared" si="4"/>
        <v>1.0001191054351328</v>
      </c>
    </row>
    <row r="15" spans="1:20" x14ac:dyDescent="0.35">
      <c r="B15" s="36" t="s">
        <v>9</v>
      </c>
      <c r="I15" s="37">
        <f>AVERAGE(I9:I12)</f>
        <v>355.84704167832837</v>
      </c>
      <c r="O15" s="37">
        <f>AVERAGE(O9:O12)</f>
        <v>356.92718147811229</v>
      </c>
      <c r="T15" s="4">
        <f t="shared" si="4"/>
        <v>1.0030354047477521</v>
      </c>
    </row>
    <row r="16" spans="1:20" x14ac:dyDescent="0.35">
      <c r="B16" s="36" t="s">
        <v>10</v>
      </c>
      <c r="I16" s="37">
        <f>AVERAGE(I5:I12)</f>
        <v>211.00151027748385</v>
      </c>
      <c r="O16" s="37">
        <f>AVERAGE(O5:O12)</f>
        <v>211.57566786752921</v>
      </c>
      <c r="T16" s="4">
        <f t="shared" si="4"/>
        <v>1.0027211065422721</v>
      </c>
    </row>
    <row r="17" spans="1:18" x14ac:dyDescent="0.35">
      <c r="A17" s="36" t="s">
        <v>176</v>
      </c>
      <c r="B17" s="36" t="s">
        <v>177</v>
      </c>
      <c r="K17" s="38">
        <f>SUM(K5:K6,K7:K8,K9:K12)</f>
        <v>58213</v>
      </c>
      <c r="L17" s="38">
        <f>SUM(L5:L6,L7:L8,L9:L12)</f>
        <v>617.09141</v>
      </c>
      <c r="Q17" s="38">
        <f>SUM(Q5:Q6,Q7:Q8,Q9:Q12)</f>
        <v>52942</v>
      </c>
      <c r="R17" s="38">
        <f>SUM(R5:R6,R7:R8,R9:R12)</f>
        <v>672.90276900000003</v>
      </c>
    </row>
    <row r="18" spans="1:18" x14ac:dyDescent="0.35">
      <c r="B18" s="36" t="s">
        <v>178</v>
      </c>
      <c r="Q18" s="57">
        <f>Q17/K17</f>
        <v>0.90945321491763009</v>
      </c>
      <c r="R18" s="57">
        <f>R17/L17</f>
        <v>1.0904426120596948</v>
      </c>
    </row>
  </sheetData>
  <mergeCells count="20">
    <mergeCell ref="C2:C3"/>
    <mergeCell ref="D2:D3"/>
    <mergeCell ref="E2:E3"/>
    <mergeCell ref="R2:R3"/>
    <mergeCell ref="T2:T3"/>
    <mergeCell ref="A1:F1"/>
    <mergeCell ref="H1:L1"/>
    <mergeCell ref="N1:R1"/>
    <mergeCell ref="L2:L3"/>
    <mergeCell ref="N2:N3"/>
    <mergeCell ref="O2:O3"/>
    <mergeCell ref="P2:P3"/>
    <mergeCell ref="Q2:Q3"/>
    <mergeCell ref="F2:F3"/>
    <mergeCell ref="H2:H3"/>
    <mergeCell ref="I2:I3"/>
    <mergeCell ref="J2:J3"/>
    <mergeCell ref="K2:K3"/>
    <mergeCell ref="A2:A3"/>
    <mergeCell ref="B2:B3"/>
  </mergeCells>
  <conditionalFormatting sqref="T5 T6 T7 T8 T9 T10 T11 T12 T13 T14 T15 T16">
    <cfRule type="cellIs" dxfId="33" priority="1" operator="greaterThanOrEqual">
      <formula>1.03</formula>
    </cfRule>
    <cfRule type="cellIs" dxfId="32"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131"/>
  <sheetViews>
    <sheetView workbookViewId="0"/>
  </sheetViews>
  <sheetFormatPr defaultColWidth="9.1796875" defaultRowHeight="14.5" x14ac:dyDescent="0.35"/>
  <cols>
    <col min="1" max="1" width="41.7265625" style="3" bestFit="1" customWidth="1"/>
  </cols>
  <sheetData>
    <row r="1" spans="1:2" x14ac:dyDescent="0.35">
      <c r="A1" t="s">
        <v>179</v>
      </c>
      <c r="B1">
        <v>1</v>
      </c>
    </row>
    <row r="2" spans="1:2" x14ac:dyDescent="0.35">
      <c r="A2" t="s">
        <v>180</v>
      </c>
      <c r="B2">
        <v>2</v>
      </c>
    </row>
    <row r="3" spans="1:2" x14ac:dyDescent="0.35">
      <c r="A3" t="s">
        <v>181</v>
      </c>
      <c r="B3">
        <v>3</v>
      </c>
    </row>
    <row r="4" spans="1:2" x14ac:dyDescent="0.35">
      <c r="A4" t="s">
        <v>182</v>
      </c>
      <c r="B4">
        <v>4</v>
      </c>
    </row>
    <row r="5" spans="1:2" x14ac:dyDescent="0.35">
      <c r="A5" t="s">
        <v>183</v>
      </c>
      <c r="B5">
        <v>5</v>
      </c>
    </row>
    <row r="6" spans="1:2" x14ac:dyDescent="0.35">
      <c r="A6" t="s">
        <v>184</v>
      </c>
      <c r="B6">
        <v>6</v>
      </c>
    </row>
    <row r="7" spans="1:2" x14ac:dyDescent="0.35">
      <c r="A7" t="s">
        <v>185</v>
      </c>
      <c r="B7">
        <v>8</v>
      </c>
    </row>
    <row r="8" spans="1:2" x14ac:dyDescent="0.35">
      <c r="A8" t="s">
        <v>186</v>
      </c>
      <c r="B8">
        <v>9</v>
      </c>
    </row>
    <row r="9" spans="1:2" x14ac:dyDescent="0.35">
      <c r="A9" t="s">
        <v>187</v>
      </c>
      <c r="B9">
        <v>10</v>
      </c>
    </row>
    <row r="10" spans="1:2" x14ac:dyDescent="0.35">
      <c r="A10" t="s">
        <v>188</v>
      </c>
      <c r="B10">
        <v>11</v>
      </c>
    </row>
    <row r="11" spans="1:2" x14ac:dyDescent="0.35">
      <c r="A11" t="s">
        <v>189</v>
      </c>
      <c r="B11">
        <v>12</v>
      </c>
    </row>
    <row r="12" spans="1:2" x14ac:dyDescent="0.35">
      <c r="A12" t="s">
        <v>190</v>
      </c>
      <c r="B12">
        <v>14</v>
      </c>
    </row>
    <row r="13" spans="1:2" x14ac:dyDescent="0.35">
      <c r="A13" t="s">
        <v>191</v>
      </c>
      <c r="B13">
        <v>15</v>
      </c>
    </row>
    <row r="14" spans="1:2" x14ac:dyDescent="0.35">
      <c r="A14" t="s">
        <v>192</v>
      </c>
      <c r="B14">
        <v>16</v>
      </c>
    </row>
    <row r="15" spans="1:2" x14ac:dyDescent="0.35">
      <c r="A15" t="s">
        <v>193</v>
      </c>
      <c r="B15">
        <v>17</v>
      </c>
    </row>
    <row r="16" spans="1:2" x14ac:dyDescent="0.35">
      <c r="A16" t="s">
        <v>194</v>
      </c>
      <c r="B16">
        <v>18</v>
      </c>
    </row>
    <row r="17" spans="1:2" x14ac:dyDescent="0.35">
      <c r="A17" t="s">
        <v>195</v>
      </c>
      <c r="B17">
        <v>20</v>
      </c>
    </row>
    <row r="18" spans="1:2" x14ac:dyDescent="0.35">
      <c r="A18" t="s">
        <v>196</v>
      </c>
      <c r="B18" t="s">
        <v>197</v>
      </c>
    </row>
    <row r="19" spans="1:2" x14ac:dyDescent="0.35">
      <c r="A19" t="s">
        <v>198</v>
      </c>
      <c r="B19" t="s">
        <v>199</v>
      </c>
    </row>
    <row r="20" spans="1:2" x14ac:dyDescent="0.35">
      <c r="A20" t="s">
        <v>200</v>
      </c>
      <c r="B20" t="s">
        <v>201</v>
      </c>
    </row>
    <row r="21" spans="1:2" x14ac:dyDescent="0.35">
      <c r="A21" t="s">
        <v>202</v>
      </c>
      <c r="B21" t="s">
        <v>203</v>
      </c>
    </row>
    <row r="22" spans="1:2" x14ac:dyDescent="0.35">
      <c r="A22" t="s">
        <v>204</v>
      </c>
      <c r="B22" t="s">
        <v>205</v>
      </c>
    </row>
    <row r="23" spans="1:2" x14ac:dyDescent="0.35">
      <c r="A23" t="s">
        <v>206</v>
      </c>
      <c r="B23" t="s">
        <v>207</v>
      </c>
    </row>
    <row r="24" spans="1:2" x14ac:dyDescent="0.35">
      <c r="A24" t="s">
        <v>208</v>
      </c>
      <c r="B24" t="s">
        <v>209</v>
      </c>
    </row>
    <row r="25" spans="1:2" x14ac:dyDescent="0.35">
      <c r="A25" t="s">
        <v>210</v>
      </c>
      <c r="B25" t="s">
        <v>211</v>
      </c>
    </row>
    <row r="26" spans="1:2" x14ac:dyDescent="0.35">
      <c r="A26" t="s">
        <v>212</v>
      </c>
      <c r="B26" t="s">
        <v>213</v>
      </c>
    </row>
    <row r="27" spans="1:2" x14ac:dyDescent="0.35">
      <c r="A27" t="s">
        <v>214</v>
      </c>
      <c r="B27" t="s">
        <v>215</v>
      </c>
    </row>
    <row r="28" spans="1:2" x14ac:dyDescent="0.35">
      <c r="A28" t="s">
        <v>216</v>
      </c>
      <c r="B28">
        <v>1</v>
      </c>
    </row>
    <row r="29" spans="1:2" x14ac:dyDescent="0.35">
      <c r="A29" t="s">
        <v>217</v>
      </c>
      <c r="B29">
        <v>2</v>
      </c>
    </row>
    <row r="30" spans="1:2" x14ac:dyDescent="0.35">
      <c r="A30" t="s">
        <v>218</v>
      </c>
      <c r="B30">
        <v>3</v>
      </c>
    </row>
    <row r="31" spans="1:2" x14ac:dyDescent="0.35">
      <c r="A31" t="s">
        <v>219</v>
      </c>
      <c r="B31">
        <v>4</v>
      </c>
    </row>
    <row r="32" spans="1:2" x14ac:dyDescent="0.35">
      <c r="A32" t="s">
        <v>220</v>
      </c>
      <c r="B32">
        <v>5</v>
      </c>
    </row>
    <row r="33" spans="1:2" x14ac:dyDescent="0.35">
      <c r="A33" t="s">
        <v>221</v>
      </c>
      <c r="B33">
        <v>6</v>
      </c>
    </row>
    <row r="34" spans="1:2" x14ac:dyDescent="0.35">
      <c r="A34" t="s">
        <v>222</v>
      </c>
      <c r="B34">
        <v>7</v>
      </c>
    </row>
    <row r="35" spans="1:2" x14ac:dyDescent="0.35">
      <c r="A35" t="s">
        <v>223</v>
      </c>
      <c r="B35">
        <v>8</v>
      </c>
    </row>
    <row r="36" spans="1:2" x14ac:dyDescent="0.35">
      <c r="A36" t="s">
        <v>224</v>
      </c>
      <c r="B36">
        <v>10</v>
      </c>
    </row>
    <row r="37" spans="1:2" x14ac:dyDescent="0.35">
      <c r="A37" t="s">
        <v>225</v>
      </c>
      <c r="B37">
        <v>11</v>
      </c>
    </row>
    <row r="38" spans="1:2" x14ac:dyDescent="0.35">
      <c r="A38" t="s">
        <v>226</v>
      </c>
      <c r="B38">
        <v>12</v>
      </c>
    </row>
    <row r="39" spans="1:2" x14ac:dyDescent="0.35">
      <c r="A39" t="s">
        <v>227</v>
      </c>
      <c r="B39">
        <v>13</v>
      </c>
    </row>
    <row r="40" spans="1:2" x14ac:dyDescent="0.35">
      <c r="A40" t="s">
        <v>228</v>
      </c>
      <c r="B40">
        <v>14</v>
      </c>
    </row>
    <row r="41" spans="1:2" x14ac:dyDescent="0.35">
      <c r="A41" t="s">
        <v>229</v>
      </c>
      <c r="B41">
        <v>15</v>
      </c>
    </row>
    <row r="42" spans="1:2" x14ac:dyDescent="0.35">
      <c r="A42" t="s">
        <v>230</v>
      </c>
      <c r="B42">
        <v>16</v>
      </c>
    </row>
    <row r="43" spans="1:2" x14ac:dyDescent="0.35">
      <c r="A43" t="s">
        <v>231</v>
      </c>
      <c r="B43">
        <v>17</v>
      </c>
    </row>
    <row r="44" spans="1:2" x14ac:dyDescent="0.35">
      <c r="A44" t="s">
        <v>232</v>
      </c>
      <c r="B44">
        <v>18</v>
      </c>
    </row>
    <row r="45" spans="1:2" x14ac:dyDescent="0.35">
      <c r="A45" t="s">
        <v>233</v>
      </c>
      <c r="B45">
        <v>19</v>
      </c>
    </row>
    <row r="46" spans="1:2" x14ac:dyDescent="0.35">
      <c r="A46" t="s">
        <v>234</v>
      </c>
      <c r="B46">
        <v>20</v>
      </c>
    </row>
    <row r="47" spans="1:2" x14ac:dyDescent="0.35">
      <c r="A47" t="s">
        <v>235</v>
      </c>
      <c r="B47">
        <v>21</v>
      </c>
    </row>
    <row r="48" spans="1:2" x14ac:dyDescent="0.35">
      <c r="A48" t="s">
        <v>236</v>
      </c>
      <c r="B48">
        <v>22</v>
      </c>
    </row>
    <row r="49" spans="1:2" x14ac:dyDescent="0.35">
      <c r="A49" t="s">
        <v>237</v>
      </c>
      <c r="B49">
        <v>24</v>
      </c>
    </row>
    <row r="50" spans="1:2" x14ac:dyDescent="0.35">
      <c r="A50" t="s">
        <v>238</v>
      </c>
      <c r="B50">
        <v>25</v>
      </c>
    </row>
    <row r="51" spans="1:2" x14ac:dyDescent="0.35">
      <c r="A51" t="s">
        <v>239</v>
      </c>
      <c r="B51">
        <v>26</v>
      </c>
    </row>
    <row r="52" spans="1:2" x14ac:dyDescent="0.35">
      <c r="A52" t="s">
        <v>240</v>
      </c>
      <c r="B52">
        <v>27</v>
      </c>
    </row>
    <row r="53" spans="1:2" x14ac:dyDescent="0.35">
      <c r="A53" t="s">
        <v>241</v>
      </c>
      <c r="B53">
        <v>28</v>
      </c>
    </row>
    <row r="54" spans="1:2" x14ac:dyDescent="0.35">
      <c r="A54" t="s">
        <v>242</v>
      </c>
      <c r="B54">
        <v>29</v>
      </c>
    </row>
    <row r="55" spans="1:2" x14ac:dyDescent="0.35">
      <c r="A55" t="s">
        <v>243</v>
      </c>
      <c r="B55">
        <v>30</v>
      </c>
    </row>
    <row r="56" spans="1:2" x14ac:dyDescent="0.35">
      <c r="A56" t="s">
        <v>244</v>
      </c>
      <c r="B56">
        <v>31</v>
      </c>
    </row>
    <row r="57" spans="1:2" x14ac:dyDescent="0.35">
      <c r="A57" t="s">
        <v>245</v>
      </c>
      <c r="B57">
        <v>32</v>
      </c>
    </row>
    <row r="58" spans="1:2" x14ac:dyDescent="0.35">
      <c r="A58" t="s">
        <v>246</v>
      </c>
      <c r="B58">
        <v>33</v>
      </c>
    </row>
    <row r="59" spans="1:2" x14ac:dyDescent="0.35">
      <c r="A59" t="s">
        <v>247</v>
      </c>
      <c r="B59">
        <v>34</v>
      </c>
    </row>
    <row r="60" spans="1:2" x14ac:dyDescent="0.35">
      <c r="A60" t="s">
        <v>248</v>
      </c>
      <c r="B60">
        <v>35</v>
      </c>
    </row>
    <row r="61" spans="1:2" x14ac:dyDescent="0.35">
      <c r="A61" t="s">
        <v>249</v>
      </c>
      <c r="B61">
        <v>36</v>
      </c>
    </row>
    <row r="62" spans="1:2" x14ac:dyDescent="0.35">
      <c r="A62" t="s">
        <v>250</v>
      </c>
      <c r="B62">
        <v>38</v>
      </c>
    </row>
    <row r="63" spans="1:2" x14ac:dyDescent="0.35">
      <c r="A63" t="s">
        <v>251</v>
      </c>
      <c r="B63">
        <v>39</v>
      </c>
    </row>
    <row r="64" spans="1:2" x14ac:dyDescent="0.35">
      <c r="A64" t="s">
        <v>252</v>
      </c>
      <c r="B64">
        <v>40</v>
      </c>
    </row>
    <row r="65" spans="1:14" x14ac:dyDescent="0.35">
      <c r="A65" t="s">
        <v>253</v>
      </c>
      <c r="B65">
        <v>41</v>
      </c>
    </row>
    <row r="66" spans="1:14" x14ac:dyDescent="0.35">
      <c r="A66" t="s">
        <v>254</v>
      </c>
      <c r="B66">
        <v>42</v>
      </c>
    </row>
    <row r="67" spans="1:14" x14ac:dyDescent="0.35">
      <c r="A67" t="s">
        <v>255</v>
      </c>
      <c r="B67">
        <v>43</v>
      </c>
    </row>
    <row r="68" spans="1:14" x14ac:dyDescent="0.35">
      <c r="A68" t="s">
        <v>256</v>
      </c>
      <c r="B68">
        <v>44</v>
      </c>
    </row>
    <row r="69" spans="1:14" x14ac:dyDescent="0.35">
      <c r="A69" t="s">
        <v>257</v>
      </c>
      <c r="B69" t="s">
        <v>258</v>
      </c>
    </row>
    <row r="70" spans="1:14" x14ac:dyDescent="0.35">
      <c r="A70" t="s">
        <v>259</v>
      </c>
      <c r="B70" t="s">
        <v>260</v>
      </c>
    </row>
    <row r="71" spans="1:14" x14ac:dyDescent="0.35">
      <c r="A71" t="s">
        <v>261</v>
      </c>
      <c r="B71" t="s">
        <v>262</v>
      </c>
    </row>
    <row r="72" spans="1:14" x14ac:dyDescent="0.35">
      <c r="A72" t="s">
        <v>263</v>
      </c>
      <c r="B72" t="s">
        <v>264</v>
      </c>
    </row>
    <row r="73" spans="1:14" x14ac:dyDescent="0.35">
      <c r="A73" t="s">
        <v>265</v>
      </c>
      <c r="B73" t="s">
        <v>266</v>
      </c>
    </row>
    <row r="74" spans="1:14" x14ac:dyDescent="0.35">
      <c r="A74" t="s">
        <v>267</v>
      </c>
      <c r="B74" t="s">
        <v>268</v>
      </c>
    </row>
    <row r="75" spans="1:14" x14ac:dyDescent="0.35">
      <c r="A75" t="s">
        <v>269</v>
      </c>
      <c r="B75" t="s">
        <v>270</v>
      </c>
    </row>
    <row r="76" spans="1:14" x14ac:dyDescent="0.35">
      <c r="A76" t="s">
        <v>271</v>
      </c>
      <c r="B76" t="s">
        <v>272</v>
      </c>
    </row>
    <row r="77" spans="1:14" x14ac:dyDescent="0.35">
      <c r="A77" t="s">
        <v>273</v>
      </c>
      <c r="B77" t="s">
        <v>274</v>
      </c>
    </row>
    <row r="78" spans="1:14" x14ac:dyDescent="0.35">
      <c r="A78" t="s">
        <v>275</v>
      </c>
      <c r="B78" t="s">
        <v>276</v>
      </c>
    </row>
    <row r="79" spans="1:14" x14ac:dyDescent="0.35">
      <c r="A79" t="s">
        <v>277</v>
      </c>
      <c r="B79" t="s">
        <v>44</v>
      </c>
      <c r="C79" t="s">
        <v>49</v>
      </c>
      <c r="D79" t="s">
        <v>73</v>
      </c>
      <c r="E79" t="s">
        <v>42</v>
      </c>
      <c r="F79" t="s">
        <v>121</v>
      </c>
      <c r="G79" t="s">
        <v>69</v>
      </c>
      <c r="H79" t="s">
        <v>64</v>
      </c>
      <c r="I79" t="s">
        <v>82</v>
      </c>
      <c r="J79" t="s">
        <v>123</v>
      </c>
      <c r="K79" t="s">
        <v>59</v>
      </c>
      <c r="L79" t="s">
        <v>103</v>
      </c>
      <c r="M79" t="s">
        <v>54</v>
      </c>
      <c r="N79" t="s">
        <v>132</v>
      </c>
    </row>
    <row r="80" spans="1:14" x14ac:dyDescent="0.35">
      <c r="A80" t="s">
        <v>278</v>
      </c>
      <c r="B80">
        <v>1</v>
      </c>
    </row>
    <row r="81" spans="1:2" x14ac:dyDescent="0.35">
      <c r="A81" t="s">
        <v>279</v>
      </c>
      <c r="B81">
        <v>2</v>
      </c>
    </row>
    <row r="82" spans="1:2" x14ac:dyDescent="0.35">
      <c r="A82" t="s">
        <v>280</v>
      </c>
      <c r="B82">
        <v>3</v>
      </c>
    </row>
    <row r="83" spans="1:2" x14ac:dyDescent="0.35">
      <c r="A83" t="s">
        <v>281</v>
      </c>
      <c r="B83">
        <v>4</v>
      </c>
    </row>
    <row r="84" spans="1:2" x14ac:dyDescent="0.35">
      <c r="A84" t="s">
        <v>282</v>
      </c>
      <c r="B84">
        <v>5</v>
      </c>
    </row>
    <row r="85" spans="1:2" x14ac:dyDescent="0.35">
      <c r="A85" t="s">
        <v>283</v>
      </c>
      <c r="B85">
        <v>6</v>
      </c>
    </row>
    <row r="86" spans="1:2" x14ac:dyDescent="0.35">
      <c r="A86" t="s">
        <v>284</v>
      </c>
      <c r="B86">
        <v>7</v>
      </c>
    </row>
    <row r="87" spans="1:2" x14ac:dyDescent="0.35">
      <c r="A87" t="s">
        <v>285</v>
      </c>
      <c r="B87">
        <v>8</v>
      </c>
    </row>
    <row r="88" spans="1:2" x14ac:dyDescent="0.35">
      <c r="A88" t="s">
        <v>286</v>
      </c>
      <c r="B88">
        <v>10</v>
      </c>
    </row>
    <row r="89" spans="1:2" x14ac:dyDescent="0.35">
      <c r="A89" t="s">
        <v>287</v>
      </c>
      <c r="B89">
        <v>11</v>
      </c>
    </row>
    <row r="90" spans="1:2" x14ac:dyDescent="0.35">
      <c r="A90" t="s">
        <v>288</v>
      </c>
      <c r="B90">
        <v>12</v>
      </c>
    </row>
    <row r="91" spans="1:2" x14ac:dyDescent="0.35">
      <c r="A91" t="s">
        <v>289</v>
      </c>
      <c r="B91">
        <v>13</v>
      </c>
    </row>
    <row r="92" spans="1:2" x14ac:dyDescent="0.35">
      <c r="A92" t="s">
        <v>290</v>
      </c>
      <c r="B92">
        <v>14</v>
      </c>
    </row>
    <row r="93" spans="1:2" x14ac:dyDescent="0.35">
      <c r="A93" t="s">
        <v>291</v>
      </c>
      <c r="B93">
        <v>15</v>
      </c>
    </row>
    <row r="94" spans="1:2" x14ac:dyDescent="0.35">
      <c r="A94" t="s">
        <v>292</v>
      </c>
      <c r="B94">
        <v>16</v>
      </c>
    </row>
    <row r="95" spans="1:2" x14ac:dyDescent="0.35">
      <c r="A95" t="s">
        <v>293</v>
      </c>
      <c r="B95">
        <v>17</v>
      </c>
    </row>
    <row r="96" spans="1:2" x14ac:dyDescent="0.35">
      <c r="A96" t="s">
        <v>294</v>
      </c>
      <c r="B96">
        <v>18</v>
      </c>
    </row>
    <row r="97" spans="1:2" x14ac:dyDescent="0.35">
      <c r="A97" t="s">
        <v>295</v>
      </c>
      <c r="B97">
        <v>19</v>
      </c>
    </row>
    <row r="98" spans="1:2" x14ac:dyDescent="0.35">
      <c r="A98" t="s">
        <v>296</v>
      </c>
      <c r="B98">
        <v>20</v>
      </c>
    </row>
    <row r="99" spans="1:2" x14ac:dyDescent="0.35">
      <c r="A99" t="s">
        <v>297</v>
      </c>
      <c r="B99">
        <v>21</v>
      </c>
    </row>
    <row r="100" spans="1:2" x14ac:dyDescent="0.35">
      <c r="A100" t="s">
        <v>298</v>
      </c>
      <c r="B100">
        <v>22</v>
      </c>
    </row>
    <row r="101" spans="1:2" x14ac:dyDescent="0.35">
      <c r="A101" t="s">
        <v>299</v>
      </c>
      <c r="B101">
        <v>24</v>
      </c>
    </row>
    <row r="102" spans="1:2" x14ac:dyDescent="0.35">
      <c r="A102" t="s">
        <v>300</v>
      </c>
      <c r="B102">
        <v>25</v>
      </c>
    </row>
    <row r="103" spans="1:2" x14ac:dyDescent="0.35">
      <c r="A103" t="s">
        <v>301</v>
      </c>
      <c r="B103">
        <v>26</v>
      </c>
    </row>
    <row r="104" spans="1:2" x14ac:dyDescent="0.35">
      <c r="A104" t="s">
        <v>302</v>
      </c>
      <c r="B104">
        <v>27</v>
      </c>
    </row>
    <row r="105" spans="1:2" x14ac:dyDescent="0.35">
      <c r="A105" t="s">
        <v>303</v>
      </c>
      <c r="B105">
        <v>28</v>
      </c>
    </row>
    <row r="106" spans="1:2" x14ac:dyDescent="0.35">
      <c r="A106" t="s">
        <v>304</v>
      </c>
      <c r="B106">
        <v>29</v>
      </c>
    </row>
    <row r="107" spans="1:2" x14ac:dyDescent="0.35">
      <c r="A107" t="s">
        <v>305</v>
      </c>
      <c r="B107">
        <v>30</v>
      </c>
    </row>
    <row r="108" spans="1:2" x14ac:dyDescent="0.35">
      <c r="A108" t="s">
        <v>306</v>
      </c>
      <c r="B108">
        <v>31</v>
      </c>
    </row>
    <row r="109" spans="1:2" x14ac:dyDescent="0.35">
      <c r="A109" t="s">
        <v>307</v>
      </c>
      <c r="B109">
        <v>32</v>
      </c>
    </row>
    <row r="110" spans="1:2" x14ac:dyDescent="0.35">
      <c r="A110" t="s">
        <v>308</v>
      </c>
      <c r="B110">
        <v>33</v>
      </c>
    </row>
    <row r="111" spans="1:2" x14ac:dyDescent="0.35">
      <c r="A111" t="s">
        <v>309</v>
      </c>
      <c r="B111">
        <v>34</v>
      </c>
    </row>
    <row r="112" spans="1:2" x14ac:dyDescent="0.35">
      <c r="A112" t="s">
        <v>310</v>
      </c>
      <c r="B112">
        <v>35</v>
      </c>
    </row>
    <row r="113" spans="1:2" x14ac:dyDescent="0.35">
      <c r="A113" t="s">
        <v>311</v>
      </c>
      <c r="B113">
        <v>36</v>
      </c>
    </row>
    <row r="114" spans="1:2" x14ac:dyDescent="0.35">
      <c r="A114" t="s">
        <v>312</v>
      </c>
      <c r="B114">
        <v>38</v>
      </c>
    </row>
    <row r="115" spans="1:2" x14ac:dyDescent="0.35">
      <c r="A115" t="s">
        <v>313</v>
      </c>
      <c r="B115">
        <v>39</v>
      </c>
    </row>
    <row r="116" spans="1:2" x14ac:dyDescent="0.35">
      <c r="A116" t="s">
        <v>314</v>
      </c>
      <c r="B116">
        <v>40</v>
      </c>
    </row>
    <row r="117" spans="1:2" x14ac:dyDescent="0.35">
      <c r="A117" t="s">
        <v>315</v>
      </c>
      <c r="B117">
        <v>41</v>
      </c>
    </row>
    <row r="118" spans="1:2" x14ac:dyDescent="0.35">
      <c r="A118" t="s">
        <v>316</v>
      </c>
      <c r="B118">
        <v>42</v>
      </c>
    </row>
    <row r="119" spans="1:2" x14ac:dyDescent="0.35">
      <c r="A119" t="s">
        <v>317</v>
      </c>
      <c r="B119">
        <v>43</v>
      </c>
    </row>
    <row r="120" spans="1:2" x14ac:dyDescent="0.35">
      <c r="A120" t="s">
        <v>318</v>
      </c>
      <c r="B120">
        <v>44</v>
      </c>
    </row>
    <row r="121" spans="1:2" x14ac:dyDescent="0.35">
      <c r="A121" t="s">
        <v>319</v>
      </c>
      <c r="B121" t="s">
        <v>320</v>
      </c>
    </row>
    <row r="122" spans="1:2" x14ac:dyDescent="0.35">
      <c r="A122" t="s">
        <v>321</v>
      </c>
      <c r="B122" t="s">
        <v>322</v>
      </c>
    </row>
    <row r="123" spans="1:2" x14ac:dyDescent="0.35">
      <c r="A123" t="s">
        <v>323</v>
      </c>
      <c r="B123" t="s">
        <v>324</v>
      </c>
    </row>
    <row r="124" spans="1:2" x14ac:dyDescent="0.35">
      <c r="A124" t="s">
        <v>325</v>
      </c>
      <c r="B124" t="s">
        <v>326</v>
      </c>
    </row>
    <row r="125" spans="1:2" x14ac:dyDescent="0.35">
      <c r="A125" t="s">
        <v>327</v>
      </c>
      <c r="B125" t="s">
        <v>328</v>
      </c>
    </row>
    <row r="126" spans="1:2" x14ac:dyDescent="0.35">
      <c r="A126" t="s">
        <v>329</v>
      </c>
      <c r="B126" t="s">
        <v>330</v>
      </c>
    </row>
    <row r="127" spans="1:2" x14ac:dyDescent="0.35">
      <c r="A127" t="s">
        <v>331</v>
      </c>
      <c r="B127" t="s">
        <v>332</v>
      </c>
    </row>
    <row r="128" spans="1:2" x14ac:dyDescent="0.35">
      <c r="A128" t="s">
        <v>333</v>
      </c>
      <c r="B128" t="s">
        <v>334</v>
      </c>
    </row>
    <row r="129" spans="1:14" x14ac:dyDescent="0.35">
      <c r="A129" t="s">
        <v>335</v>
      </c>
      <c r="B129" t="s">
        <v>336</v>
      </c>
    </row>
    <row r="130" spans="1:14" x14ac:dyDescent="0.35">
      <c r="A130" t="s">
        <v>337</v>
      </c>
      <c r="B130" t="s">
        <v>338</v>
      </c>
    </row>
    <row r="131" spans="1:14" x14ac:dyDescent="0.35">
      <c r="A131" t="s">
        <v>339</v>
      </c>
      <c r="B131" t="s">
        <v>59</v>
      </c>
      <c r="C131" t="s">
        <v>103</v>
      </c>
      <c r="D131" t="s">
        <v>54</v>
      </c>
      <c r="E131" t="s">
        <v>132</v>
      </c>
      <c r="F131" t="s">
        <v>44</v>
      </c>
      <c r="G131" t="s">
        <v>49</v>
      </c>
      <c r="H131" t="s">
        <v>73</v>
      </c>
      <c r="I131" t="s">
        <v>42</v>
      </c>
      <c r="J131" t="s">
        <v>69</v>
      </c>
      <c r="K131" t="s">
        <v>121</v>
      </c>
      <c r="L131" t="s">
        <v>64</v>
      </c>
      <c r="M131" t="s">
        <v>82</v>
      </c>
      <c r="N131" t="s">
        <v>123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AS50"/>
  <sheetViews>
    <sheetView zoomScale="55" zoomScaleNormal="55" workbookViewId="0">
      <pane xSplit="2" ySplit="4" topLeftCell="T5" activePane="bottomRight" state="frozen"/>
      <selection pane="topRight" activeCell="C1" sqref="C1"/>
      <selection pane="bottomLeft" activeCell="A5" sqref="A5"/>
      <selection pane="bottomRight" activeCell="Z5" sqref="Z5:AJ44"/>
    </sheetView>
  </sheetViews>
  <sheetFormatPr defaultColWidth="9.1796875" defaultRowHeight="14.5" outlineLevelRow="1" x14ac:dyDescent="0.35"/>
  <cols>
    <col min="2" max="2" width="24.7265625" style="3" customWidth="1"/>
    <col min="4" max="5" width="10.7265625" style="3" customWidth="1"/>
    <col min="9" max="9" width="1.7265625" style="3" customWidth="1"/>
    <col min="11" max="12" width="10.7265625" style="3" customWidth="1"/>
    <col min="13" max="13" width="12.7265625" style="3" customWidth="1"/>
    <col min="14" max="20" width="11.7265625" style="3" customWidth="1"/>
    <col min="23" max="23" width="1.7265625" style="3" customWidth="1"/>
    <col min="25" max="26" width="10.7265625" style="3" customWidth="1"/>
    <col min="27" max="27" width="12.7265625" style="3" customWidth="1"/>
    <col min="28" max="34" width="11.7265625" style="3" customWidth="1"/>
    <col min="37" max="37" width="1.7265625" style="3" customWidth="1"/>
    <col min="40" max="44" width="11.7265625" style="3" customWidth="1"/>
    <col min="45" max="45" width="1.7265625" style="3" customWidth="1"/>
  </cols>
  <sheetData>
    <row r="1" spans="1:44" x14ac:dyDescent="0.35">
      <c r="A1" s="73" t="s">
        <v>340</v>
      </c>
      <c r="B1" s="62"/>
      <c r="C1" s="62"/>
      <c r="D1" s="62"/>
      <c r="E1" s="62"/>
      <c r="F1" s="62"/>
      <c r="G1" s="62"/>
      <c r="H1" s="62"/>
      <c r="J1" s="61" t="str">
        <f>Summary!C1</f>
        <v>F032_v4.0 (no integration)</v>
      </c>
      <c r="K1" s="62"/>
      <c r="L1" s="62"/>
      <c r="M1" s="62"/>
      <c r="N1" s="62"/>
      <c r="O1" s="62"/>
      <c r="P1" s="62"/>
      <c r="Q1" s="62"/>
      <c r="R1" s="62"/>
      <c r="S1" s="62"/>
      <c r="T1" s="62"/>
      <c r="U1" s="62"/>
      <c r="V1" s="62"/>
      <c r="X1" s="63" t="str">
        <f>Summary!C2</f>
        <v>F032_v4.0+orthoAtlas-uv</v>
      </c>
      <c r="Y1" s="62"/>
      <c r="Z1" s="62"/>
      <c r="AA1" s="62"/>
      <c r="AB1" s="62"/>
      <c r="AC1" s="62"/>
      <c r="AD1" s="62"/>
      <c r="AE1" s="62"/>
      <c r="AF1" s="62"/>
      <c r="AG1" s="62"/>
      <c r="AH1" s="62"/>
      <c r="AI1" s="62"/>
      <c r="AJ1" s="62"/>
    </row>
    <row r="2" spans="1:44" ht="30" customHeight="1" x14ac:dyDescent="0.35">
      <c r="A2" s="72" t="s">
        <v>149</v>
      </c>
      <c r="B2" s="74" t="s">
        <v>150</v>
      </c>
      <c r="C2" s="72" t="s">
        <v>341</v>
      </c>
      <c r="D2" s="74" t="s">
        <v>151</v>
      </c>
      <c r="E2" s="72" t="s">
        <v>152</v>
      </c>
      <c r="F2" s="74" t="s">
        <v>153</v>
      </c>
      <c r="G2" s="72" t="s">
        <v>154</v>
      </c>
      <c r="H2" s="74" t="s">
        <v>342</v>
      </c>
      <c r="J2" s="72" t="s">
        <v>129</v>
      </c>
      <c r="K2" s="74" t="s">
        <v>133</v>
      </c>
      <c r="L2" s="72" t="s">
        <v>83</v>
      </c>
      <c r="M2" s="74" t="s">
        <v>122</v>
      </c>
      <c r="N2" s="75" t="s">
        <v>343</v>
      </c>
      <c r="O2" s="62"/>
      <c r="P2" s="62"/>
      <c r="Q2" s="62"/>
      <c r="R2" s="62"/>
      <c r="S2" s="76" t="s">
        <v>344</v>
      </c>
      <c r="T2" s="62"/>
      <c r="U2" s="72" t="s">
        <v>124</v>
      </c>
      <c r="V2" s="74" t="s">
        <v>104</v>
      </c>
      <c r="X2" s="72" t="s">
        <v>129</v>
      </c>
      <c r="Y2" s="74" t="s">
        <v>133</v>
      </c>
      <c r="Z2" s="72" t="s">
        <v>83</v>
      </c>
      <c r="AA2" s="74" t="s">
        <v>122</v>
      </c>
      <c r="AB2" s="75" t="s">
        <v>343</v>
      </c>
      <c r="AC2" s="62"/>
      <c r="AD2" s="62"/>
      <c r="AE2" s="62"/>
      <c r="AF2" s="62"/>
      <c r="AG2" s="76" t="s">
        <v>344</v>
      </c>
      <c r="AH2" s="62"/>
      <c r="AI2" s="72" t="s">
        <v>124</v>
      </c>
      <c r="AJ2" s="74" t="s">
        <v>104</v>
      </c>
      <c r="AL2" s="75" t="s">
        <v>15</v>
      </c>
      <c r="AM2" s="62"/>
      <c r="AN2" s="62"/>
      <c r="AO2" s="62"/>
      <c r="AP2" s="62"/>
      <c r="AQ2" s="76" t="s">
        <v>16</v>
      </c>
      <c r="AR2" s="62"/>
    </row>
    <row r="3" spans="1:44" ht="15.75" customHeight="1" thickBot="1" x14ac:dyDescent="0.4">
      <c r="A3" s="65"/>
      <c r="B3" s="65"/>
      <c r="C3" s="65"/>
      <c r="D3" s="65"/>
      <c r="E3" s="65"/>
      <c r="F3" s="65"/>
      <c r="G3" s="65"/>
      <c r="H3" s="65"/>
      <c r="J3" s="65"/>
      <c r="K3" s="65"/>
      <c r="L3" s="65"/>
      <c r="M3" s="65"/>
      <c r="N3" s="60" t="s">
        <v>17</v>
      </c>
      <c r="O3" s="60" t="s">
        <v>18</v>
      </c>
      <c r="P3" s="60" t="s">
        <v>19</v>
      </c>
      <c r="Q3" s="60" t="s">
        <v>20</v>
      </c>
      <c r="R3" s="60" t="s">
        <v>21</v>
      </c>
      <c r="S3" s="59" t="s">
        <v>22</v>
      </c>
      <c r="T3" s="59" t="s">
        <v>19</v>
      </c>
      <c r="U3" s="65"/>
      <c r="V3" s="65"/>
      <c r="X3" s="65"/>
      <c r="Y3" s="65"/>
      <c r="Z3" s="65"/>
      <c r="AA3" s="65"/>
      <c r="AB3" s="60" t="s">
        <v>17</v>
      </c>
      <c r="AC3" s="60" t="s">
        <v>18</v>
      </c>
      <c r="AD3" s="60" t="s">
        <v>19</v>
      </c>
      <c r="AE3" s="60" t="s">
        <v>20</v>
      </c>
      <c r="AF3" s="60" t="s">
        <v>21</v>
      </c>
      <c r="AG3" s="59" t="s">
        <v>22</v>
      </c>
      <c r="AH3" s="59" t="s">
        <v>19</v>
      </c>
      <c r="AI3" s="65"/>
      <c r="AJ3" s="65"/>
      <c r="AL3" s="60" t="s">
        <v>17</v>
      </c>
      <c r="AM3" s="60" t="s">
        <v>18</v>
      </c>
      <c r="AN3" s="60" t="s">
        <v>19</v>
      </c>
      <c r="AO3" s="60" t="s">
        <v>20</v>
      </c>
      <c r="AP3" s="60" t="s">
        <v>21</v>
      </c>
      <c r="AQ3" s="59" t="s">
        <v>22</v>
      </c>
      <c r="AR3" s="59" t="s">
        <v>19</v>
      </c>
    </row>
    <row r="4" spans="1:44" ht="53.25" hidden="1" customHeight="1" x14ac:dyDescent="0.35">
      <c r="A4" s="10" t="s">
        <v>156</v>
      </c>
      <c r="B4" s="11" t="s">
        <v>157</v>
      </c>
      <c r="C4" s="10" t="s">
        <v>345</v>
      </c>
      <c r="D4" s="11" t="s">
        <v>158</v>
      </c>
      <c r="E4" s="10" t="s">
        <v>159</v>
      </c>
      <c r="F4" s="11" t="s">
        <v>160</v>
      </c>
      <c r="G4" s="10" t="s">
        <v>161</v>
      </c>
      <c r="H4" s="11" t="s">
        <v>346</v>
      </c>
      <c r="J4" s="10" t="s">
        <v>162</v>
      </c>
      <c r="K4" s="11" t="s">
        <v>163</v>
      </c>
      <c r="L4" s="10" t="s">
        <v>347</v>
      </c>
      <c r="M4" s="11" t="s">
        <v>164</v>
      </c>
      <c r="N4" s="10" t="s">
        <v>348</v>
      </c>
      <c r="O4" s="10" t="s">
        <v>349</v>
      </c>
      <c r="P4" s="10" t="s">
        <v>350</v>
      </c>
      <c r="Q4" s="10" t="s">
        <v>351</v>
      </c>
      <c r="R4" s="10" t="s">
        <v>352</v>
      </c>
      <c r="S4" s="11" t="s">
        <v>353</v>
      </c>
      <c r="T4" s="11" t="s">
        <v>354</v>
      </c>
      <c r="U4" s="10" t="s">
        <v>165</v>
      </c>
      <c r="V4" s="11" t="s">
        <v>166</v>
      </c>
      <c r="X4" s="10" t="s">
        <v>167</v>
      </c>
      <c r="Y4" s="11" t="s">
        <v>168</v>
      </c>
      <c r="Z4" s="10" t="s">
        <v>355</v>
      </c>
      <c r="AA4" s="11" t="s">
        <v>169</v>
      </c>
      <c r="AB4" s="10" t="s">
        <v>356</v>
      </c>
      <c r="AC4" s="10" t="s">
        <v>357</v>
      </c>
      <c r="AD4" s="10" t="s">
        <v>358</v>
      </c>
      <c r="AE4" s="10" t="s">
        <v>359</v>
      </c>
      <c r="AF4" s="10" t="s">
        <v>360</v>
      </c>
      <c r="AG4" s="11" t="s">
        <v>361</v>
      </c>
      <c r="AH4" s="11" t="s">
        <v>362</v>
      </c>
      <c r="AI4" s="10" t="s">
        <v>170</v>
      </c>
      <c r="AJ4" s="11" t="s">
        <v>171</v>
      </c>
      <c r="AL4" s="10" t="s">
        <v>363</v>
      </c>
      <c r="AM4" s="10" t="s">
        <v>364</v>
      </c>
      <c r="AN4" s="10" t="s">
        <v>365</v>
      </c>
      <c r="AO4" s="10" t="s">
        <v>366</v>
      </c>
      <c r="AP4" s="10" t="s">
        <v>367</v>
      </c>
      <c r="AQ4" s="11" t="s">
        <v>368</v>
      </c>
      <c r="AR4" s="11" t="s">
        <v>369</v>
      </c>
    </row>
    <row r="5" spans="1:44" x14ac:dyDescent="0.35">
      <c r="A5" s="12" t="s">
        <v>173</v>
      </c>
      <c r="B5" s="12" t="s">
        <v>40</v>
      </c>
      <c r="C5" s="14" t="s">
        <v>370</v>
      </c>
      <c r="D5" s="12">
        <v>11997440</v>
      </c>
      <c r="E5" s="13">
        <v>10</v>
      </c>
      <c r="F5" s="14">
        <v>32</v>
      </c>
      <c r="G5" s="14">
        <v>30</v>
      </c>
      <c r="H5" s="14">
        <v>4</v>
      </c>
      <c r="J5" s="15">
        <f t="shared" ref="J5:J44" si="0">IF(OR(ISBLANK(M5),ISBLANK(G5)),"·",M5*G5/F5/1000000)</f>
        <v>4.8356849999999998</v>
      </c>
      <c r="K5" s="16">
        <f t="shared" ref="K5:K44" si="1">IF(ISBLANK(M5),"·",M5/D5)</f>
        <v>0.42993038514883175</v>
      </c>
      <c r="L5" s="39">
        <v>2415872</v>
      </c>
      <c r="M5" s="17">
        <v>5158064</v>
      </c>
      <c r="N5" s="40">
        <v>68.067207100000005</v>
      </c>
      <c r="O5" s="40">
        <v>69.049653000000006</v>
      </c>
      <c r="P5" s="40">
        <v>28.384539700000001</v>
      </c>
      <c r="Q5" s="40">
        <v>34.176665900000003</v>
      </c>
      <c r="R5" s="40">
        <v>33.740744399999997</v>
      </c>
      <c r="S5" s="40">
        <v>48.886397899999999</v>
      </c>
      <c r="T5" s="40">
        <v>27.0767916</v>
      </c>
      <c r="U5" s="18">
        <v>1818.5092139999999</v>
      </c>
      <c r="V5" s="18">
        <v>15.642391</v>
      </c>
      <c r="X5" s="15">
        <f t="shared" ref="X5:X44" si="2">IF(OR(ISBLANK(AA5),ISBLANK(G5)),"·",AA5*G5/F5/1000000)</f>
        <v>4.7285550000000001</v>
      </c>
      <c r="Y5" s="16">
        <f t="shared" ref="Y5:Y44" si="3">IF(ISBLANK(AA5),"·",AA5/D5)</f>
        <v>0.42040568654646326</v>
      </c>
      <c r="Z5" s="39">
        <v>2415872</v>
      </c>
      <c r="AA5" s="17">
        <v>5043792</v>
      </c>
      <c r="AB5" s="40">
        <v>68.066564999999997</v>
      </c>
      <c r="AC5" s="40">
        <v>69.049057599999998</v>
      </c>
      <c r="AD5" s="40">
        <v>28.022912699999999</v>
      </c>
      <c r="AE5" s="40">
        <v>33.916444900000002</v>
      </c>
      <c r="AF5" s="40">
        <v>33.443511999999998</v>
      </c>
      <c r="AG5" s="40">
        <v>48.887348799999998</v>
      </c>
      <c r="AH5" s="40">
        <v>26.8265247</v>
      </c>
      <c r="AI5" s="18">
        <v>1647.6439290000001</v>
      </c>
      <c r="AJ5" s="18">
        <v>19.142078999999999</v>
      </c>
      <c r="AL5" s="19">
        <f t="array" ref="AL5">IF( OR(AND(ISBLANK(M5:M9)),AND(ISBLANK(AA5:AA9)), AND(ISBLANK(N5:N9)),AND(ISBLANK(AB5:AB9))), "·", bdRateExtend( M5:M9,N5:N9, AA5:AA9,AB5:AB9))</f>
        <v>4.4570296744412818E-3</v>
      </c>
      <c r="AM5" s="19">
        <f t="array" ref="AM5">IF( OR(AND(ISBLANK(M5:M9)),AND(ISBLANK(AA5:AA9)), AND(ISBLANK(O5:O9)),AND(ISBLANK(AC5:AC9))), "·", bdRateExtend( M5:M9,O5:O9, AA5:AA9,AC5:AC9))</f>
        <v>4.4593572580673424E-3</v>
      </c>
      <c r="AN5" s="19">
        <f t="array" ref="AN5">IF( OR(AND(ISBLANK(M5:M9)),AND(ISBLANK(AA5:AA9)), AND(ISBLANK(P5:P9)),AND(ISBLANK(AD5:AD9))), "·", bdRateExtend( M5:M9,P5:P9, AA5:AA9,AD5:AD9))</f>
        <v>0.1155709081040166</v>
      </c>
      <c r="AO5" s="19">
        <f t="array" ref="AO5">IF( OR(AND(ISBLANK(M5:M9)),AND(ISBLANK(AA5:AA9)), AND(ISBLANK(Q5:Q9)),AND(ISBLANK(AE5:AE9))), "·", bdRateExtend( M5:M9,Q5:Q9, AA5:AA9,AE5:AE9))</f>
        <v>0.13033901419509197</v>
      </c>
      <c r="AP5" s="19">
        <f t="array" ref="AP5">IF( OR(AND(ISBLANK(M5:M9)),AND(ISBLANK(AA5:AA9)), AND(ISBLANK(R5:R9)),AND(ISBLANK(AF5:AF9))), "·", bdRateExtend( M5:M9,R5:R9, AA5:AA9,AF5:AF9))</f>
        <v>0.13726708960605949</v>
      </c>
      <c r="AQ5" s="19">
        <f t="array" ref="AQ5">IF( OR(AND(ISBLANK(M5:M9)),AND(ISBLANK(AA5:AA9)), AND(ISBLANK(S5:S9)),AND(ISBLANK(AG5:AG9))), "·", bdRateExtend( M5:M9,S5:S9, AA5:AA9,AG5:AG9))</f>
        <v>4.4539105434209247E-3</v>
      </c>
      <c r="AR5" s="19">
        <f t="array" ref="AR5">IF( OR(AND(ISBLANK(M5:M9)),AND(ISBLANK(AA5:AA9)), AND(ISBLANK(T5:T9)),AND(ISBLANK(AH5:AH9))), "·", bdRateExtend( M5:M9,T5:T9, AA5:AA9,AH5:AH9))</f>
        <v>7.1821745669835346E-2</v>
      </c>
    </row>
    <row r="6" spans="1:44" outlineLevel="1" x14ac:dyDescent="0.35">
      <c r="A6" s="28"/>
      <c r="B6" s="28" t="s">
        <v>40</v>
      </c>
      <c r="C6" s="30" t="s">
        <v>371</v>
      </c>
      <c r="D6" s="28">
        <v>11997440</v>
      </c>
      <c r="E6" s="29">
        <v>10</v>
      </c>
      <c r="F6" s="30">
        <v>32</v>
      </c>
      <c r="G6" s="30">
        <v>30</v>
      </c>
      <c r="H6" s="30">
        <v>9</v>
      </c>
      <c r="J6" s="31">
        <f t="shared" si="0"/>
        <v>6.9458774999999999</v>
      </c>
      <c r="K6" s="32">
        <f t="shared" si="1"/>
        <v>0.61754307585618262</v>
      </c>
      <c r="L6" s="41">
        <v>2415872</v>
      </c>
      <c r="M6" s="33">
        <v>7408936</v>
      </c>
      <c r="N6" s="42">
        <v>69.125408300000004</v>
      </c>
      <c r="O6" s="42">
        <v>70.236529500000003</v>
      </c>
      <c r="P6" s="42">
        <v>29.8238117</v>
      </c>
      <c r="Q6" s="42">
        <v>35.472886699999997</v>
      </c>
      <c r="R6" s="42">
        <v>35.147626000000002</v>
      </c>
      <c r="S6" s="42">
        <v>49.422834600000002</v>
      </c>
      <c r="T6" s="42">
        <v>28.170070800000001</v>
      </c>
      <c r="U6" s="34">
        <v>2271.808505</v>
      </c>
      <c r="V6" s="34">
        <v>19.184365</v>
      </c>
      <c r="X6" s="31">
        <f t="shared" si="2"/>
        <v>6.8962500000000002</v>
      </c>
      <c r="Y6" s="32">
        <f t="shared" si="3"/>
        <v>0.61313080123759733</v>
      </c>
      <c r="Z6" s="41">
        <v>2415872</v>
      </c>
      <c r="AA6" s="33">
        <v>7356000</v>
      </c>
      <c r="AB6" s="42">
        <v>69.125011200000003</v>
      </c>
      <c r="AC6" s="42">
        <v>70.236012900000006</v>
      </c>
      <c r="AD6" s="42">
        <v>29.416938300000002</v>
      </c>
      <c r="AE6" s="42">
        <v>35.180453800000002</v>
      </c>
      <c r="AF6" s="42">
        <v>34.813053699999998</v>
      </c>
      <c r="AG6" s="42">
        <v>49.4236</v>
      </c>
      <c r="AH6" s="42">
        <v>27.906323499999999</v>
      </c>
      <c r="AI6" s="34">
        <v>1662.0851500000001</v>
      </c>
      <c r="AJ6" s="34">
        <v>18.087565000000001</v>
      </c>
      <c r="AL6" s="35"/>
      <c r="AM6" s="35"/>
      <c r="AN6" s="35"/>
      <c r="AO6" s="35"/>
      <c r="AP6" s="35"/>
      <c r="AQ6" s="35"/>
      <c r="AR6" s="35"/>
    </row>
    <row r="7" spans="1:44" outlineLevel="1" x14ac:dyDescent="0.35">
      <c r="A7" s="12"/>
      <c r="B7" s="12" t="s">
        <v>40</v>
      </c>
      <c r="C7" s="14" t="s">
        <v>372</v>
      </c>
      <c r="D7" s="12">
        <v>11997440</v>
      </c>
      <c r="E7" s="13">
        <v>10</v>
      </c>
      <c r="F7" s="14">
        <v>32</v>
      </c>
      <c r="G7" s="14">
        <v>30</v>
      </c>
      <c r="H7" s="14">
        <v>12</v>
      </c>
      <c r="J7" s="15">
        <f t="shared" si="0"/>
        <v>9.9668775000000007</v>
      </c>
      <c r="K7" s="16">
        <f t="shared" si="1"/>
        <v>0.88613370852448525</v>
      </c>
      <c r="L7" s="39">
        <v>4871680</v>
      </c>
      <c r="M7" s="17">
        <v>10631336</v>
      </c>
      <c r="N7" s="40">
        <v>72.8955263</v>
      </c>
      <c r="O7" s="40">
        <v>74.5445122</v>
      </c>
      <c r="P7" s="40">
        <v>31.442256700000002</v>
      </c>
      <c r="Q7" s="40">
        <v>35.991161699999999</v>
      </c>
      <c r="R7" s="40">
        <v>35.728839899999997</v>
      </c>
      <c r="S7" s="40">
        <v>51.518318899999997</v>
      </c>
      <c r="T7" s="40">
        <v>30.025870600000001</v>
      </c>
      <c r="U7" s="18">
        <v>2498.9440180000001</v>
      </c>
      <c r="V7" s="18">
        <v>19.241282999999999</v>
      </c>
      <c r="X7" s="15">
        <f t="shared" si="2"/>
        <v>10.0024725</v>
      </c>
      <c r="Y7" s="16">
        <f t="shared" si="3"/>
        <v>0.88929838365517977</v>
      </c>
      <c r="Z7" s="39">
        <v>4871680</v>
      </c>
      <c r="AA7" s="17">
        <v>10669304</v>
      </c>
      <c r="AB7" s="40">
        <v>72.896064699999997</v>
      </c>
      <c r="AC7" s="40">
        <v>74.544631999999993</v>
      </c>
      <c r="AD7" s="40">
        <v>31.008558300000001</v>
      </c>
      <c r="AE7" s="40">
        <v>35.699946599999997</v>
      </c>
      <c r="AF7" s="40">
        <v>35.411318199999997</v>
      </c>
      <c r="AG7" s="40">
        <v>51.520184700000001</v>
      </c>
      <c r="AH7" s="40">
        <v>29.7018524</v>
      </c>
      <c r="AI7" s="18">
        <v>1566.859013</v>
      </c>
      <c r="AJ7" s="18">
        <v>18.412357</v>
      </c>
      <c r="AL7" s="19"/>
      <c r="AM7" s="19"/>
      <c r="AN7" s="19"/>
      <c r="AO7" s="19"/>
      <c r="AP7" s="19"/>
      <c r="AQ7" s="19"/>
      <c r="AR7" s="19"/>
    </row>
    <row r="8" spans="1:44" outlineLevel="1" x14ac:dyDescent="0.35">
      <c r="A8" s="28"/>
      <c r="B8" s="28" t="s">
        <v>40</v>
      </c>
      <c r="C8" s="30" t="s">
        <v>373</v>
      </c>
      <c r="D8" s="28">
        <v>11997440</v>
      </c>
      <c r="E8" s="29">
        <v>10</v>
      </c>
      <c r="F8" s="30">
        <v>32</v>
      </c>
      <c r="G8" s="30">
        <v>30</v>
      </c>
      <c r="H8" s="30">
        <v>15</v>
      </c>
      <c r="J8" s="31">
        <f t="shared" si="0"/>
        <v>13.577662500000001</v>
      </c>
      <c r="K8" s="32">
        <f t="shared" si="1"/>
        <v>1.2071608609836766</v>
      </c>
      <c r="L8" s="41">
        <v>4871680</v>
      </c>
      <c r="M8" s="33">
        <v>14482840</v>
      </c>
      <c r="N8" s="42">
        <v>73.886487399999993</v>
      </c>
      <c r="O8" s="42">
        <v>75.697550100000001</v>
      </c>
      <c r="P8" s="42">
        <v>32.852823700000002</v>
      </c>
      <c r="Q8" s="42">
        <v>36.941897099999998</v>
      </c>
      <c r="R8" s="42">
        <v>36.699306300000003</v>
      </c>
      <c r="S8" s="42">
        <v>51.997675000000001</v>
      </c>
      <c r="T8" s="42">
        <v>31.156533</v>
      </c>
      <c r="U8" s="34">
        <v>2518.6398220000001</v>
      </c>
      <c r="V8" s="34">
        <v>20.881160000000001</v>
      </c>
      <c r="X8" s="31">
        <f t="shared" si="2"/>
        <v>13.780665000000001</v>
      </c>
      <c r="Y8" s="32">
        <f t="shared" si="3"/>
        <v>1.2252093780006401</v>
      </c>
      <c r="Z8" s="41">
        <v>4871680</v>
      </c>
      <c r="AA8" s="33">
        <v>14699376</v>
      </c>
      <c r="AB8" s="42">
        <v>73.886855600000004</v>
      </c>
      <c r="AC8" s="42">
        <v>75.697575400000005</v>
      </c>
      <c r="AD8" s="42">
        <v>32.369879099999999</v>
      </c>
      <c r="AE8" s="42">
        <v>36.6296404</v>
      </c>
      <c r="AF8" s="42">
        <v>36.350698000000001</v>
      </c>
      <c r="AG8" s="42">
        <v>51.996648700000001</v>
      </c>
      <c r="AH8" s="42">
        <v>30.815619300000002</v>
      </c>
      <c r="AI8" s="34">
        <v>1682.826337</v>
      </c>
      <c r="AJ8" s="34">
        <v>19.346920000000001</v>
      </c>
      <c r="AL8" s="35"/>
      <c r="AM8" s="35"/>
      <c r="AN8" s="35"/>
      <c r="AO8" s="35"/>
      <c r="AP8" s="35"/>
      <c r="AQ8" s="35"/>
      <c r="AR8" s="35"/>
    </row>
    <row r="9" spans="1:44" ht="15.75" customHeight="1" outlineLevel="1" thickBot="1" x14ac:dyDescent="0.4">
      <c r="A9" s="12"/>
      <c r="B9" s="43" t="s">
        <v>40</v>
      </c>
      <c r="C9" s="44" t="s">
        <v>374</v>
      </c>
      <c r="D9" s="43">
        <v>11997440</v>
      </c>
      <c r="E9" s="45">
        <v>10</v>
      </c>
      <c r="F9" s="44">
        <v>32</v>
      </c>
      <c r="G9" s="44">
        <v>30</v>
      </c>
      <c r="H9" s="44">
        <v>22</v>
      </c>
      <c r="J9" s="46">
        <f t="shared" si="0"/>
        <v>22.806660000000001</v>
      </c>
      <c r="K9" s="47">
        <f t="shared" si="1"/>
        <v>2.027691240798037</v>
      </c>
      <c r="L9" s="48">
        <v>1279248</v>
      </c>
      <c r="M9" s="49">
        <v>24327104</v>
      </c>
      <c r="N9" s="50">
        <v>999.99</v>
      </c>
      <c r="O9" s="50">
        <v>999.99</v>
      </c>
      <c r="P9" s="50">
        <v>33.473650399999997</v>
      </c>
      <c r="Q9" s="50">
        <v>37.333696799999998</v>
      </c>
      <c r="R9" s="50">
        <v>37.099611500000002</v>
      </c>
      <c r="S9" s="50">
        <v>999.99</v>
      </c>
      <c r="T9" s="50">
        <v>33.379334700000001</v>
      </c>
      <c r="U9" s="51">
        <v>1815.2060509999999</v>
      </c>
      <c r="V9" s="51">
        <v>20.075657</v>
      </c>
      <c r="X9" s="46">
        <f t="shared" si="2"/>
        <v>22.8289875</v>
      </c>
      <c r="Y9" s="47">
        <f t="shared" si="3"/>
        <v>2.0296763309506027</v>
      </c>
      <c r="Z9" s="48">
        <v>1279248</v>
      </c>
      <c r="AA9" s="49">
        <v>24350920</v>
      </c>
      <c r="AB9" s="50">
        <v>999.99</v>
      </c>
      <c r="AC9" s="50">
        <v>999.99</v>
      </c>
      <c r="AD9" s="50">
        <v>33.471295900000001</v>
      </c>
      <c r="AE9" s="50">
        <v>37.325451700000002</v>
      </c>
      <c r="AF9" s="50">
        <v>37.1070821</v>
      </c>
      <c r="AG9" s="50">
        <v>999.99</v>
      </c>
      <c r="AH9" s="50">
        <v>33.377561499999999</v>
      </c>
      <c r="AI9" s="51">
        <v>1348.7696209999999</v>
      </c>
      <c r="AJ9" s="51">
        <v>19.23339</v>
      </c>
      <c r="AL9" s="52"/>
      <c r="AM9" s="52"/>
      <c r="AN9" s="52"/>
      <c r="AO9" s="52"/>
      <c r="AP9" s="52"/>
      <c r="AQ9" s="52"/>
      <c r="AR9" s="52"/>
    </row>
    <row r="10" spans="1:44" x14ac:dyDescent="0.35">
      <c r="A10" s="28"/>
      <c r="B10" s="28" t="s">
        <v>48</v>
      </c>
      <c r="C10" s="30" t="s">
        <v>370</v>
      </c>
      <c r="D10" s="28">
        <v>9000000</v>
      </c>
      <c r="E10" s="29">
        <v>10</v>
      </c>
      <c r="F10" s="30">
        <v>32</v>
      </c>
      <c r="G10" s="30">
        <v>30</v>
      </c>
      <c r="H10" s="30">
        <v>5</v>
      </c>
      <c r="J10" s="31">
        <f t="shared" si="0"/>
        <v>4.057995</v>
      </c>
      <c r="K10" s="32">
        <f t="shared" si="1"/>
        <v>0.48094755555555557</v>
      </c>
      <c r="L10" s="41">
        <v>2393664</v>
      </c>
      <c r="M10" s="33">
        <v>4328528</v>
      </c>
      <c r="N10" s="42">
        <v>65.817152300000004</v>
      </c>
      <c r="O10" s="42">
        <v>66.559700399999997</v>
      </c>
      <c r="P10" s="42">
        <v>30.697683600000001</v>
      </c>
      <c r="Q10" s="42">
        <v>44.033647000000002</v>
      </c>
      <c r="R10" s="42">
        <v>44.214323200000003</v>
      </c>
      <c r="S10" s="42">
        <v>44.521447199999997</v>
      </c>
      <c r="T10" s="42">
        <v>28.928224799999999</v>
      </c>
      <c r="U10" s="34">
        <v>2282.7756669999999</v>
      </c>
      <c r="V10" s="34">
        <v>17.559275</v>
      </c>
      <c r="X10" s="31">
        <f t="shared" si="2"/>
        <v>3.8363999999999998</v>
      </c>
      <c r="Y10" s="32">
        <f t="shared" si="3"/>
        <v>0.45468444444444445</v>
      </c>
      <c r="Z10" s="41">
        <v>2393664</v>
      </c>
      <c r="AA10" s="33">
        <v>4092160</v>
      </c>
      <c r="AB10" s="42">
        <v>65.816968000000003</v>
      </c>
      <c r="AC10" s="42">
        <v>66.559456100000006</v>
      </c>
      <c r="AD10" s="42">
        <v>29.963548599999999</v>
      </c>
      <c r="AE10" s="42">
        <v>43.849427300000002</v>
      </c>
      <c r="AF10" s="42">
        <v>44.0093137</v>
      </c>
      <c r="AG10" s="42">
        <v>44.521247700000004</v>
      </c>
      <c r="AH10" s="42">
        <v>28.506941300000001</v>
      </c>
      <c r="AI10" s="34">
        <v>1707.860077</v>
      </c>
      <c r="AJ10" s="34">
        <v>18.002759999999999</v>
      </c>
      <c r="AL10" s="35">
        <f t="array" ref="AL10">IF( OR(AND(ISBLANK(M10:M14)),AND(ISBLANK(AA10:AA14)), AND(ISBLANK(N10:N14)),AND(ISBLANK(AB10:AB14))), "·", bdRateExtend( M10:M14,N10:N14, AA10:AA14,AB10:AB14))</f>
        <v>-7.2758353273180143E-3</v>
      </c>
      <c r="AM10" s="35">
        <f t="array" ref="AM10">IF( OR(AND(ISBLANK(M10:M14)),AND(ISBLANK(AA10:AA14)), AND(ISBLANK(O10:O14)),AND(ISBLANK(AC10:AC14))), "·", bdRateExtend( M10:M14,O10:O14, AA10:AA14,AC10:AC14))</f>
        <v>-7.3346736753815422E-3</v>
      </c>
      <c r="AN10" s="35">
        <f t="array" ref="AN10">IF( OR(AND(ISBLANK(M10:M14)),AND(ISBLANK(AA10:AA14)), AND(ISBLANK(P10:P14)),AND(ISBLANK(AD10:AD14))), "·", bdRateExtend( M10:M14,P10:P14, AA10:AA14,AD10:AD14))</f>
        <v>0.15391514765749981</v>
      </c>
      <c r="AO10" s="35">
        <f t="array" ref="AO10">IF( OR(AND(ISBLANK(M10:M14)),AND(ISBLANK(AA10:AA14)), AND(ISBLANK(Q10:Q14)),AND(ISBLANK(AE10:AE14))), "·", bdRateExtend( M10:M14,Q10:Q14, AA10:AA14,AE10:AE14))</f>
        <v>0.15747748260283023</v>
      </c>
      <c r="AP10" s="35">
        <f t="array" ref="AP10">IF( OR(AND(ISBLANK(M10:M14)),AND(ISBLANK(AA10:AA14)), AND(ISBLANK(R10:R14)),AND(ISBLANK(AF10:AF14))), "·", bdRateExtend( M10:M14,R10:R14, AA10:AA14,AF10:AF14))</f>
        <v>0.15261213067375623</v>
      </c>
      <c r="AQ10" s="35">
        <f t="array" ref="AQ10">IF( OR(AND(ISBLANK(M10:M14)),AND(ISBLANK(AA10:AA14)), AND(ISBLANK(S10:S14)),AND(ISBLANK(AG10:AG14))), "·", bdRateExtend( M10:M14,S10:S14, AA10:AA14,AG10:AG14))</f>
        <v>-7.0829483696064344E-3</v>
      </c>
      <c r="AR10" s="35">
        <f t="array" ref="AR10">IF( OR(AND(ISBLANK(M10:M14)),AND(ISBLANK(AA10:AA14)), AND(ISBLANK(T10:T14)),AND(ISBLANK(AH10:AH14))), "·", bdRateExtend( M10:M14,T10:T14, AA10:AA14,AH10:AH14))</f>
        <v>7.5235565330319165E-2</v>
      </c>
    </row>
    <row r="11" spans="1:44" outlineLevel="1" x14ac:dyDescent="0.35">
      <c r="A11" s="12"/>
      <c r="B11" s="12" t="s">
        <v>48</v>
      </c>
      <c r="C11" s="14" t="s">
        <v>371</v>
      </c>
      <c r="D11" s="12">
        <v>9000000</v>
      </c>
      <c r="E11" s="13">
        <v>10</v>
      </c>
      <c r="F11" s="14">
        <v>32</v>
      </c>
      <c r="G11" s="14">
        <v>30</v>
      </c>
      <c r="H11" s="14">
        <v>9</v>
      </c>
      <c r="J11" s="15">
        <f t="shared" si="0"/>
        <v>6.3351674999999998</v>
      </c>
      <c r="K11" s="16">
        <f t="shared" si="1"/>
        <v>0.75083466666666665</v>
      </c>
      <c r="L11" s="39">
        <v>4847680</v>
      </c>
      <c r="M11" s="17">
        <v>6757512</v>
      </c>
      <c r="N11" s="40">
        <v>70.257469599999993</v>
      </c>
      <c r="O11" s="40">
        <v>71.604535999999996</v>
      </c>
      <c r="P11" s="40">
        <v>32.387899099999998</v>
      </c>
      <c r="Q11" s="40">
        <v>44.876678400000003</v>
      </c>
      <c r="R11" s="40">
        <v>45.196063500000001</v>
      </c>
      <c r="S11" s="40">
        <v>47.194342800000001</v>
      </c>
      <c r="T11" s="40">
        <v>30.948741099999999</v>
      </c>
      <c r="U11" s="18">
        <v>2486.0097219999998</v>
      </c>
      <c r="V11" s="18">
        <v>18.438233</v>
      </c>
      <c r="X11" s="15">
        <f t="shared" si="2"/>
        <v>5.9300775000000003</v>
      </c>
      <c r="Y11" s="16">
        <f t="shared" si="3"/>
        <v>0.702824</v>
      </c>
      <c r="Z11" s="39">
        <v>4847680</v>
      </c>
      <c r="AA11" s="17">
        <v>6325416</v>
      </c>
      <c r="AB11" s="40">
        <v>70.257236899999995</v>
      </c>
      <c r="AC11" s="40">
        <v>71.604208999999997</v>
      </c>
      <c r="AD11" s="40">
        <v>31.475947999999999</v>
      </c>
      <c r="AE11" s="40">
        <v>44.563879300000004</v>
      </c>
      <c r="AF11" s="40">
        <v>44.878951200000003</v>
      </c>
      <c r="AG11" s="40">
        <v>47.1933358</v>
      </c>
      <c r="AH11" s="40">
        <v>30.314205699999999</v>
      </c>
      <c r="AI11" s="18">
        <v>1906.177218</v>
      </c>
      <c r="AJ11" s="18">
        <v>18.662766000000001</v>
      </c>
      <c r="AL11" s="19"/>
      <c r="AM11" s="19"/>
      <c r="AN11" s="19"/>
      <c r="AO11" s="19"/>
      <c r="AP11" s="19"/>
      <c r="AQ11" s="19"/>
      <c r="AR11" s="19"/>
    </row>
    <row r="12" spans="1:44" outlineLevel="1" x14ac:dyDescent="0.35">
      <c r="A12" s="28"/>
      <c r="B12" s="28" t="s">
        <v>48</v>
      </c>
      <c r="C12" s="30" t="s">
        <v>372</v>
      </c>
      <c r="D12" s="28">
        <v>9000000</v>
      </c>
      <c r="E12" s="29">
        <v>10</v>
      </c>
      <c r="F12" s="30">
        <v>32</v>
      </c>
      <c r="G12" s="30">
        <v>30</v>
      </c>
      <c r="H12" s="30">
        <v>12</v>
      </c>
      <c r="J12" s="31">
        <f t="shared" si="0"/>
        <v>8.5405650000000009</v>
      </c>
      <c r="K12" s="32">
        <f t="shared" si="1"/>
        <v>1.0122151111111111</v>
      </c>
      <c r="L12" s="41">
        <v>4847680</v>
      </c>
      <c r="M12" s="33">
        <v>9109936</v>
      </c>
      <c r="N12" s="42">
        <v>71.287326699999994</v>
      </c>
      <c r="O12" s="42">
        <v>72.784621999999999</v>
      </c>
      <c r="P12" s="42">
        <v>33.897709300000002</v>
      </c>
      <c r="Q12" s="42">
        <v>45.140223499999998</v>
      </c>
      <c r="R12" s="42">
        <v>45.502935700000002</v>
      </c>
      <c r="S12" s="42">
        <v>47.687336199999997</v>
      </c>
      <c r="T12" s="42">
        <v>32.122852600000002</v>
      </c>
      <c r="U12" s="34">
        <v>2508.2615970000002</v>
      </c>
      <c r="V12" s="34">
        <v>18.613827000000001</v>
      </c>
      <c r="X12" s="31">
        <f t="shared" si="2"/>
        <v>8.1211575000000007</v>
      </c>
      <c r="Y12" s="32">
        <f t="shared" si="3"/>
        <v>0.96250755555555556</v>
      </c>
      <c r="Z12" s="41">
        <v>4847680</v>
      </c>
      <c r="AA12" s="33">
        <v>8662568</v>
      </c>
      <c r="AB12" s="42">
        <v>71.287313299999994</v>
      </c>
      <c r="AC12" s="42">
        <v>72.784817799999999</v>
      </c>
      <c r="AD12" s="42">
        <v>32.949663800000003</v>
      </c>
      <c r="AE12" s="42">
        <v>44.780303199999999</v>
      </c>
      <c r="AF12" s="42">
        <v>45.097554000000002</v>
      </c>
      <c r="AG12" s="42">
        <v>47.688768600000003</v>
      </c>
      <c r="AH12" s="42">
        <v>31.5061803</v>
      </c>
      <c r="AI12" s="34">
        <v>1853.030886</v>
      </c>
      <c r="AJ12" s="34">
        <v>16.838142000000001</v>
      </c>
      <c r="AL12" s="35"/>
      <c r="AM12" s="35"/>
      <c r="AN12" s="35"/>
      <c r="AO12" s="35"/>
      <c r="AP12" s="35"/>
      <c r="AQ12" s="35"/>
      <c r="AR12" s="35"/>
    </row>
    <row r="13" spans="1:44" outlineLevel="1" x14ac:dyDescent="0.35">
      <c r="A13" s="12"/>
      <c r="B13" s="12" t="s">
        <v>48</v>
      </c>
      <c r="C13" s="14" t="s">
        <v>373</v>
      </c>
      <c r="D13" s="12">
        <v>9000000</v>
      </c>
      <c r="E13" s="13">
        <v>10</v>
      </c>
      <c r="F13" s="14">
        <v>32</v>
      </c>
      <c r="G13" s="14">
        <v>30</v>
      </c>
      <c r="H13" s="14">
        <v>15</v>
      </c>
      <c r="J13" s="15">
        <f t="shared" si="0"/>
        <v>11.6418</v>
      </c>
      <c r="K13" s="16">
        <f t="shared" si="1"/>
        <v>1.3797688888888888</v>
      </c>
      <c r="L13" s="39">
        <v>4847680</v>
      </c>
      <c r="M13" s="17">
        <v>12417920</v>
      </c>
      <c r="N13" s="40">
        <v>72.269535399999995</v>
      </c>
      <c r="O13" s="40">
        <v>73.917459100000002</v>
      </c>
      <c r="P13" s="40">
        <v>35.375507399999996</v>
      </c>
      <c r="Q13" s="40">
        <v>45.819220000000001</v>
      </c>
      <c r="R13" s="40">
        <v>46.276391199999999</v>
      </c>
      <c r="S13" s="40">
        <v>48.141737999999997</v>
      </c>
      <c r="T13" s="40">
        <v>33.2378857</v>
      </c>
      <c r="U13" s="18">
        <v>2393.093973</v>
      </c>
      <c r="V13" s="18">
        <v>18.592793</v>
      </c>
      <c r="X13" s="15">
        <f t="shared" si="2"/>
        <v>11.231775000000001</v>
      </c>
      <c r="Y13" s="16">
        <f t="shared" si="3"/>
        <v>1.3311733333333333</v>
      </c>
      <c r="Z13" s="39">
        <v>4847680</v>
      </c>
      <c r="AA13" s="17">
        <v>11980560</v>
      </c>
      <c r="AB13" s="40">
        <v>72.269725699999995</v>
      </c>
      <c r="AC13" s="40">
        <v>73.917775000000006</v>
      </c>
      <c r="AD13" s="40">
        <v>34.400107499999997</v>
      </c>
      <c r="AE13" s="40">
        <v>45.440414199999999</v>
      </c>
      <c r="AF13" s="40">
        <v>45.822985199999998</v>
      </c>
      <c r="AG13" s="40">
        <v>48.141710600000003</v>
      </c>
      <c r="AH13" s="40">
        <v>32.650750799999997</v>
      </c>
      <c r="AI13" s="18">
        <v>2196.69589</v>
      </c>
      <c r="AJ13" s="18">
        <v>20.564281000000001</v>
      </c>
      <c r="AL13" s="19"/>
      <c r="AM13" s="19"/>
      <c r="AN13" s="19"/>
      <c r="AO13" s="19"/>
      <c r="AP13" s="19"/>
      <c r="AQ13" s="19"/>
      <c r="AR13" s="19"/>
    </row>
    <row r="14" spans="1:44" ht="15.75" customHeight="1" outlineLevel="1" thickBot="1" x14ac:dyDescent="0.4">
      <c r="A14" s="20"/>
      <c r="B14" s="20" t="s">
        <v>48</v>
      </c>
      <c r="C14" s="22" t="s">
        <v>374</v>
      </c>
      <c r="D14" s="20">
        <v>9000000</v>
      </c>
      <c r="E14" s="21">
        <v>10</v>
      </c>
      <c r="F14" s="22">
        <v>32</v>
      </c>
      <c r="G14" s="22">
        <v>30</v>
      </c>
      <c r="H14" s="22">
        <v>22</v>
      </c>
      <c r="J14" s="23">
        <f t="shared" si="0"/>
        <v>23.9954775</v>
      </c>
      <c r="K14" s="24">
        <f t="shared" si="1"/>
        <v>2.8439084444444442</v>
      </c>
      <c r="L14" s="53">
        <v>1279214</v>
      </c>
      <c r="M14" s="25">
        <v>25595176</v>
      </c>
      <c r="N14" s="54">
        <v>999.99</v>
      </c>
      <c r="O14" s="54">
        <v>999.99</v>
      </c>
      <c r="P14" s="54">
        <v>37.7693236</v>
      </c>
      <c r="Q14" s="54">
        <v>46.647306499999999</v>
      </c>
      <c r="R14" s="54">
        <v>47.199492300000003</v>
      </c>
      <c r="S14" s="54">
        <v>999.99</v>
      </c>
      <c r="T14" s="54">
        <v>37.637568600000002</v>
      </c>
      <c r="U14" s="26">
        <v>1759.076026</v>
      </c>
      <c r="V14" s="26">
        <v>18.532316999999999</v>
      </c>
      <c r="X14" s="23">
        <f t="shared" si="2"/>
        <v>24.062047499999998</v>
      </c>
      <c r="Y14" s="24">
        <f t="shared" si="3"/>
        <v>2.851798222222222</v>
      </c>
      <c r="Z14" s="53">
        <v>1279214</v>
      </c>
      <c r="AA14" s="25">
        <v>25666184</v>
      </c>
      <c r="AB14" s="54">
        <v>999.99</v>
      </c>
      <c r="AC14" s="54">
        <v>999.99</v>
      </c>
      <c r="AD14" s="54">
        <v>37.768450799999997</v>
      </c>
      <c r="AE14" s="54">
        <v>46.645041300000003</v>
      </c>
      <c r="AF14" s="54">
        <v>47.207935599999999</v>
      </c>
      <c r="AG14" s="54">
        <v>999.99</v>
      </c>
      <c r="AH14" s="54">
        <v>37.636518000000002</v>
      </c>
      <c r="AI14" s="26">
        <v>1497.0615439999999</v>
      </c>
      <c r="AJ14" s="26">
        <v>19.387336000000001</v>
      </c>
      <c r="AL14" s="27"/>
      <c r="AM14" s="27"/>
      <c r="AN14" s="27"/>
      <c r="AO14" s="27"/>
      <c r="AP14" s="27"/>
      <c r="AQ14" s="27"/>
      <c r="AR14" s="27"/>
    </row>
    <row r="15" spans="1:44" x14ac:dyDescent="0.35">
      <c r="A15" s="12" t="s">
        <v>174</v>
      </c>
      <c r="B15" s="12" t="s">
        <v>53</v>
      </c>
      <c r="C15" s="14" t="s">
        <v>370</v>
      </c>
      <c r="D15" s="12">
        <v>11842002</v>
      </c>
      <c r="E15" s="13">
        <v>12</v>
      </c>
      <c r="F15" s="14">
        <v>32</v>
      </c>
      <c r="G15" s="14">
        <v>30</v>
      </c>
      <c r="H15" s="14">
        <v>3</v>
      </c>
      <c r="J15" s="15">
        <f t="shared" si="0"/>
        <v>3.9808275000000002</v>
      </c>
      <c r="K15" s="16">
        <f t="shared" si="1"/>
        <v>0.35857247786311808</v>
      </c>
      <c r="L15" s="39">
        <v>2419456</v>
      </c>
      <c r="M15" s="17">
        <v>4246216</v>
      </c>
      <c r="N15" s="40">
        <v>71.577144700000005</v>
      </c>
      <c r="O15" s="40">
        <v>72.834174599999997</v>
      </c>
      <c r="P15" s="40">
        <v>36.932392700000001</v>
      </c>
      <c r="Q15" s="40">
        <v>43.595014999999997</v>
      </c>
      <c r="R15" s="40">
        <v>45.356196300000001</v>
      </c>
      <c r="S15" s="40">
        <v>45.535561299999998</v>
      </c>
      <c r="T15" s="40">
        <v>32.868556300000002</v>
      </c>
      <c r="U15" s="18">
        <v>2037.1750030000001</v>
      </c>
      <c r="V15" s="18">
        <v>17.162790999999999</v>
      </c>
      <c r="X15" s="15">
        <f t="shared" si="2"/>
        <v>4.1205674999999999</v>
      </c>
      <c r="Y15" s="16">
        <f t="shared" si="3"/>
        <v>0.37115953873339996</v>
      </c>
      <c r="Z15" s="39">
        <v>2419456</v>
      </c>
      <c r="AA15" s="17">
        <v>4395272</v>
      </c>
      <c r="AB15" s="40">
        <v>71.577207999999999</v>
      </c>
      <c r="AC15" s="40">
        <v>72.834220000000002</v>
      </c>
      <c r="AD15" s="40">
        <v>36.567959100000003</v>
      </c>
      <c r="AE15" s="40">
        <v>43.453402699999998</v>
      </c>
      <c r="AF15" s="40">
        <v>45.0077219</v>
      </c>
      <c r="AG15" s="40">
        <v>45.535538699999996</v>
      </c>
      <c r="AH15" s="40">
        <v>32.707536599999997</v>
      </c>
      <c r="AI15" s="18">
        <v>1357.1545619999999</v>
      </c>
      <c r="AJ15" s="18">
        <v>16.623944999999999</v>
      </c>
      <c r="AL15" s="19">
        <f t="array" ref="AL15">IF( OR(AND(ISBLANK(M15:M19)),AND(ISBLANK(AA15:AA19)), AND(ISBLANK(N15:N19)),AND(ISBLANK(AB15:AB19))), "·", bdRateExtend( M15:M19,N15:N19, AA15:AA19,AB15:AB19))</f>
        <v>-2.1780402619608008E-2</v>
      </c>
      <c r="AM15" s="19">
        <f t="array" ref="AM15">IF( OR(AND(ISBLANK(M15:M19)),AND(ISBLANK(AA15:AA19)), AND(ISBLANK(O15:O19)),AND(ISBLANK(AC15:AC19))), "·", bdRateExtend( M15:M19,O15:O19, AA15:AA19,AC15:AC19))</f>
        <v>-2.1813503204666573E-2</v>
      </c>
      <c r="AN15" s="19">
        <f t="array" ref="AN15">IF( OR(AND(ISBLANK(M15:M19)),AND(ISBLANK(AA15:AA19)), AND(ISBLANK(P15:P19)),AND(ISBLANK(AD15:AD19))), "·", bdRateExtend( M15:M19,P15:P19, AA15:AA19,AD15:AD19))</f>
        <v>0.25454343207390417</v>
      </c>
      <c r="AO15" s="19">
        <f t="array" ref="AO15">IF( OR(AND(ISBLANK(M15:M19)),AND(ISBLANK(AA15:AA19)), AND(ISBLANK(Q15:Q19)),AND(ISBLANK(AE15:AE19))), "·", bdRateExtend( M15:M19,Q15:Q19, AA15:AA19,AE15:AE19))</f>
        <v>4.4760260117126638E-2</v>
      </c>
      <c r="AP15" s="19">
        <f t="array" ref="AP15">IF( OR(AND(ISBLANK(M15:M19)),AND(ISBLANK(AA15:AA19)), AND(ISBLANK(R15:R19)),AND(ISBLANK(AF15:AF19))), "·", bdRateExtend( M15:M19,R15:R19, AA15:AA19,AF15:AF19))</f>
        <v>0.12994458243366247</v>
      </c>
      <c r="AQ15" s="19">
        <f t="array" ref="AQ15">IF( OR(AND(ISBLANK(M15:M19)),AND(ISBLANK(AA15:AA19)), AND(ISBLANK(S15:S19)),AND(ISBLANK(AG15:AG19))), "·", bdRateExtend( M15:M19,S15:S19, AA15:AA19,AG15:AG19))</f>
        <v>-2.1876517555767361E-2</v>
      </c>
      <c r="AR15" s="19">
        <f t="array" ref="AR15">IF( OR(AND(ISBLANK(M15:M19)),AND(ISBLANK(AA15:AA19)), AND(ISBLANK(T15:T19)),AND(ISBLANK(AH15:AH19))), "·", bdRateExtend( M15:M19,T15:T19, AA15:AA19,AH15:AH19))</f>
        <v>5.1306607945712956E-2</v>
      </c>
    </row>
    <row r="16" spans="1:44" outlineLevel="1" x14ac:dyDescent="0.35">
      <c r="A16" s="28"/>
      <c r="B16" s="28" t="s">
        <v>53</v>
      </c>
      <c r="C16" s="30" t="s">
        <v>371</v>
      </c>
      <c r="D16" s="28">
        <v>11842002</v>
      </c>
      <c r="E16" s="29">
        <v>12</v>
      </c>
      <c r="F16" s="30">
        <v>32</v>
      </c>
      <c r="G16" s="30">
        <v>30</v>
      </c>
      <c r="H16" s="30">
        <v>5</v>
      </c>
      <c r="J16" s="31">
        <f t="shared" si="0"/>
        <v>6.8468475</v>
      </c>
      <c r="K16" s="32">
        <f t="shared" si="1"/>
        <v>0.61672882676425822</v>
      </c>
      <c r="L16" s="41">
        <v>4841472</v>
      </c>
      <c r="M16" s="33">
        <v>7303304</v>
      </c>
      <c r="N16" s="42">
        <v>75.305827199999996</v>
      </c>
      <c r="O16" s="42">
        <v>77.002595600000006</v>
      </c>
      <c r="P16" s="42">
        <v>39.448719099999998</v>
      </c>
      <c r="Q16" s="42">
        <v>44.300480999999998</v>
      </c>
      <c r="R16" s="42">
        <v>46.7546252</v>
      </c>
      <c r="S16" s="42">
        <v>47.5536326</v>
      </c>
      <c r="T16" s="42">
        <v>35.488819599999999</v>
      </c>
      <c r="U16" s="34">
        <v>2199.7332280000001</v>
      </c>
      <c r="V16" s="34">
        <v>18.357410000000002</v>
      </c>
      <c r="X16" s="31">
        <f t="shared" si="2"/>
        <v>6.9970650000000001</v>
      </c>
      <c r="Y16" s="32">
        <f t="shared" si="3"/>
        <v>0.63025964697523273</v>
      </c>
      <c r="Z16" s="41">
        <v>4841472</v>
      </c>
      <c r="AA16" s="33">
        <v>7463536</v>
      </c>
      <c r="AB16" s="42">
        <v>75.3058628</v>
      </c>
      <c r="AC16" s="42">
        <v>77.002632300000002</v>
      </c>
      <c r="AD16" s="42">
        <v>38.918991800000001</v>
      </c>
      <c r="AE16" s="42">
        <v>44.159892999999997</v>
      </c>
      <c r="AF16" s="42">
        <v>46.351808900000002</v>
      </c>
      <c r="AG16" s="42">
        <v>47.553638399999997</v>
      </c>
      <c r="AH16" s="42">
        <v>35.2693206</v>
      </c>
      <c r="AI16" s="34">
        <v>1461.2009579999999</v>
      </c>
      <c r="AJ16" s="34">
        <v>17.698131</v>
      </c>
      <c r="AL16" s="35"/>
      <c r="AM16" s="35"/>
      <c r="AN16" s="35"/>
      <c r="AO16" s="35"/>
      <c r="AP16" s="35"/>
      <c r="AQ16" s="35"/>
      <c r="AR16" s="35"/>
    </row>
    <row r="17" spans="1:44" outlineLevel="1" x14ac:dyDescent="0.35">
      <c r="A17" s="12"/>
      <c r="B17" s="12" t="s">
        <v>53</v>
      </c>
      <c r="C17" s="14" t="s">
        <v>372</v>
      </c>
      <c r="D17" s="12">
        <v>11842002</v>
      </c>
      <c r="E17" s="13">
        <v>12</v>
      </c>
      <c r="F17" s="14">
        <v>32</v>
      </c>
      <c r="G17" s="14">
        <v>30</v>
      </c>
      <c r="H17" s="14">
        <v>10</v>
      </c>
      <c r="J17" s="15">
        <f t="shared" si="0"/>
        <v>10.8778275</v>
      </c>
      <c r="K17" s="16">
        <f t="shared" si="1"/>
        <v>0.97981878401979661</v>
      </c>
      <c r="L17" s="39">
        <v>4841472</v>
      </c>
      <c r="M17" s="17">
        <v>11603016</v>
      </c>
      <c r="N17" s="40">
        <v>76.645069199999995</v>
      </c>
      <c r="O17" s="40">
        <v>78.549478300000004</v>
      </c>
      <c r="P17" s="40">
        <v>41.222541900000003</v>
      </c>
      <c r="Q17" s="40">
        <v>45.180468400000002</v>
      </c>
      <c r="R17" s="40">
        <v>48.413318099999998</v>
      </c>
      <c r="S17" s="40">
        <v>48.182346699999997</v>
      </c>
      <c r="T17" s="40">
        <v>36.641098100000001</v>
      </c>
      <c r="U17" s="18">
        <v>2214.0903069999999</v>
      </c>
      <c r="V17" s="18">
        <v>19.596852999999999</v>
      </c>
      <c r="X17" s="15">
        <f t="shared" si="2"/>
        <v>11.1290925</v>
      </c>
      <c r="Y17" s="16">
        <f t="shared" si="3"/>
        <v>1.0024514435988103</v>
      </c>
      <c r="Z17" s="39">
        <v>4841472</v>
      </c>
      <c r="AA17" s="17">
        <v>11871032</v>
      </c>
      <c r="AB17" s="40">
        <v>76.645133599999994</v>
      </c>
      <c r="AC17" s="40">
        <v>78.549525500000001</v>
      </c>
      <c r="AD17" s="40">
        <v>40.562631000000003</v>
      </c>
      <c r="AE17" s="40">
        <v>45.063621099999999</v>
      </c>
      <c r="AF17" s="40">
        <v>48.028256599999999</v>
      </c>
      <c r="AG17" s="40">
        <v>48.1823592</v>
      </c>
      <c r="AH17" s="40">
        <v>36.401839500000001</v>
      </c>
      <c r="AI17" s="18">
        <v>1618.019221</v>
      </c>
      <c r="AJ17" s="18">
        <v>19.455096000000001</v>
      </c>
      <c r="AL17" s="19"/>
      <c r="AM17" s="19"/>
      <c r="AN17" s="19"/>
      <c r="AO17" s="19"/>
      <c r="AP17" s="19"/>
      <c r="AQ17" s="19"/>
      <c r="AR17" s="19"/>
    </row>
    <row r="18" spans="1:44" outlineLevel="1" x14ac:dyDescent="0.35">
      <c r="A18" s="28"/>
      <c r="B18" s="28" t="s">
        <v>53</v>
      </c>
      <c r="C18" s="30" t="s">
        <v>373</v>
      </c>
      <c r="D18" s="28">
        <v>11842002</v>
      </c>
      <c r="E18" s="29">
        <v>12</v>
      </c>
      <c r="F18" s="30">
        <v>32</v>
      </c>
      <c r="G18" s="30">
        <v>30</v>
      </c>
      <c r="H18" s="30">
        <v>14</v>
      </c>
      <c r="J18" s="31">
        <f t="shared" si="0"/>
        <v>16.100415000000002</v>
      </c>
      <c r="K18" s="32">
        <f t="shared" si="1"/>
        <v>1.450242619448975</v>
      </c>
      <c r="L18" s="41">
        <v>605377</v>
      </c>
      <c r="M18" s="33">
        <v>17173776</v>
      </c>
      <c r="N18" s="42">
        <v>83.638361700000004</v>
      </c>
      <c r="O18" s="42">
        <v>87.131125900000001</v>
      </c>
      <c r="P18" s="42">
        <v>41.595456900000002</v>
      </c>
      <c r="Q18" s="42">
        <v>45.231833299999998</v>
      </c>
      <c r="R18" s="42">
        <v>48.495775799999997</v>
      </c>
      <c r="S18" s="42">
        <v>54.069744</v>
      </c>
      <c r="T18" s="42">
        <v>39.906863299999998</v>
      </c>
      <c r="U18" s="34">
        <v>3602.014631</v>
      </c>
      <c r="V18" s="34">
        <v>18.763192</v>
      </c>
      <c r="X18" s="31">
        <f t="shared" si="2"/>
        <v>15.5554725</v>
      </c>
      <c r="Y18" s="32">
        <f t="shared" si="3"/>
        <v>1.401157000311265</v>
      </c>
      <c r="Z18" s="41">
        <v>605377</v>
      </c>
      <c r="AA18" s="33">
        <v>16592504</v>
      </c>
      <c r="AB18" s="42">
        <v>83.638361700000004</v>
      </c>
      <c r="AC18" s="42">
        <v>87.131125900000001</v>
      </c>
      <c r="AD18" s="42">
        <v>40.888424700000002</v>
      </c>
      <c r="AE18" s="42">
        <v>45.1321388</v>
      </c>
      <c r="AF18" s="42">
        <v>48.157491700000001</v>
      </c>
      <c r="AG18" s="42">
        <v>54.069744</v>
      </c>
      <c r="AH18" s="42">
        <v>39.435728400000002</v>
      </c>
      <c r="AI18" s="34">
        <v>1283.7728010000001</v>
      </c>
      <c r="AJ18" s="34">
        <v>26.349882000000001</v>
      </c>
      <c r="AL18" s="35"/>
      <c r="AM18" s="35"/>
      <c r="AN18" s="35"/>
      <c r="AO18" s="35"/>
      <c r="AP18" s="35"/>
      <c r="AQ18" s="35"/>
      <c r="AR18" s="35"/>
    </row>
    <row r="19" spans="1:44" ht="15.75" customHeight="1" outlineLevel="1" thickBot="1" x14ac:dyDescent="0.4">
      <c r="A19" s="12"/>
      <c r="B19" s="43" t="s">
        <v>53</v>
      </c>
      <c r="C19" s="44" t="s">
        <v>374</v>
      </c>
      <c r="D19" s="43">
        <v>11842002</v>
      </c>
      <c r="E19" s="45">
        <v>12</v>
      </c>
      <c r="F19" s="44">
        <v>32</v>
      </c>
      <c r="G19" s="44">
        <v>30</v>
      </c>
      <c r="H19" s="44">
        <v>21</v>
      </c>
      <c r="J19" s="46">
        <f t="shared" si="0"/>
        <v>22.504087500000001</v>
      </c>
      <c r="K19" s="47">
        <f t="shared" si="1"/>
        <v>2.0270525203424219</v>
      </c>
      <c r="L19" s="48">
        <v>1261248</v>
      </c>
      <c r="M19" s="49">
        <v>24004360</v>
      </c>
      <c r="N19" s="50">
        <v>999.99</v>
      </c>
      <c r="O19" s="50">
        <v>999.99</v>
      </c>
      <c r="P19" s="50">
        <v>41.545656999999999</v>
      </c>
      <c r="Q19" s="50">
        <v>45.126942900000003</v>
      </c>
      <c r="R19" s="50">
        <v>48.327106200000003</v>
      </c>
      <c r="S19" s="50">
        <v>999.99</v>
      </c>
      <c r="T19" s="50">
        <v>41.688693000000001</v>
      </c>
      <c r="U19" s="51">
        <v>1796.306589</v>
      </c>
      <c r="V19" s="51">
        <v>18.324152000000002</v>
      </c>
      <c r="X19" s="46">
        <f t="shared" si="2"/>
        <v>22.105102500000001</v>
      </c>
      <c r="Y19" s="47">
        <f t="shared" si="3"/>
        <v>1.9911140025141019</v>
      </c>
      <c r="Z19" s="48">
        <v>1261248</v>
      </c>
      <c r="AA19" s="49">
        <v>23578776</v>
      </c>
      <c r="AB19" s="50">
        <v>999.99</v>
      </c>
      <c r="AC19" s="50">
        <v>999.99</v>
      </c>
      <c r="AD19" s="50">
        <v>41.543055899999999</v>
      </c>
      <c r="AE19" s="50">
        <v>45.121403899999997</v>
      </c>
      <c r="AF19" s="50">
        <v>48.330068799999999</v>
      </c>
      <c r="AG19" s="50">
        <v>999.99</v>
      </c>
      <c r="AH19" s="50">
        <v>41.686645599999999</v>
      </c>
      <c r="AI19" s="51">
        <v>1354.0965639999999</v>
      </c>
      <c r="AJ19" s="51">
        <v>20.620894</v>
      </c>
      <c r="AL19" s="52"/>
      <c r="AM19" s="52"/>
      <c r="AN19" s="52"/>
      <c r="AO19" s="52"/>
      <c r="AP19" s="52"/>
      <c r="AQ19" s="52"/>
      <c r="AR19" s="52"/>
    </row>
    <row r="20" spans="1:44" x14ac:dyDescent="0.35">
      <c r="A20" s="28"/>
      <c r="B20" s="28" t="s">
        <v>58</v>
      </c>
      <c r="C20" s="30" t="s">
        <v>370</v>
      </c>
      <c r="D20" s="28">
        <v>11812090</v>
      </c>
      <c r="E20" s="29">
        <v>12</v>
      </c>
      <c r="F20" s="30">
        <v>32</v>
      </c>
      <c r="G20" s="30">
        <v>30</v>
      </c>
      <c r="H20" s="30">
        <v>3</v>
      </c>
      <c r="J20" s="31">
        <f t="shared" si="0"/>
        <v>2.9984700000000002</v>
      </c>
      <c r="K20" s="32">
        <f t="shared" si="1"/>
        <v>0.270770710348465</v>
      </c>
      <c r="L20" s="41">
        <v>2417984</v>
      </c>
      <c r="M20" s="33">
        <v>3198368</v>
      </c>
      <c r="N20" s="42">
        <v>70.218157300000001</v>
      </c>
      <c r="O20" s="42">
        <v>71.385570299999998</v>
      </c>
      <c r="P20" s="42">
        <v>33.979962999999998</v>
      </c>
      <c r="Q20" s="42">
        <v>43.326638299999999</v>
      </c>
      <c r="R20" s="42">
        <v>44.666333700000003</v>
      </c>
      <c r="S20" s="42">
        <v>47.760446299999998</v>
      </c>
      <c r="T20" s="42">
        <v>30.752741499999999</v>
      </c>
      <c r="U20" s="34">
        <v>1906.8433709999999</v>
      </c>
      <c r="V20" s="34">
        <v>16.905148000000001</v>
      </c>
      <c r="X20" s="31">
        <f t="shared" si="2"/>
        <v>3.0213899999999998</v>
      </c>
      <c r="Y20" s="32">
        <f t="shared" si="3"/>
        <v>0.27284045414486346</v>
      </c>
      <c r="Z20" s="41">
        <v>2417984</v>
      </c>
      <c r="AA20" s="33">
        <v>3222816</v>
      </c>
      <c r="AB20" s="42">
        <v>70.218210400000004</v>
      </c>
      <c r="AC20" s="42">
        <v>71.385635500000006</v>
      </c>
      <c r="AD20" s="42">
        <v>33.448107</v>
      </c>
      <c r="AE20" s="42">
        <v>43.246127899999998</v>
      </c>
      <c r="AF20" s="42">
        <v>44.414697400000001</v>
      </c>
      <c r="AG20" s="42">
        <v>47.760971900000001</v>
      </c>
      <c r="AH20" s="42">
        <v>30.5304477</v>
      </c>
      <c r="AI20" s="34">
        <v>1300.2823960000001</v>
      </c>
      <c r="AJ20" s="34">
        <v>17.935568</v>
      </c>
      <c r="AL20" s="35">
        <f t="array" ref="AL20">IF( OR(AND(ISBLANK(M20:M24)),AND(ISBLANK(AA20:AA24)), AND(ISBLANK(N20:N24)),AND(ISBLANK(AB20:AB24))), "·", bdRateExtend( M20:M24,N20:N24, AA20:AA24,AB20:AB24))</f>
        <v>-2.1592209558480846E-3</v>
      </c>
      <c r="AM20" s="35">
        <f t="array" ref="AM20">IF( OR(AND(ISBLANK(M20:M24)),AND(ISBLANK(AA20:AA24)), AND(ISBLANK(O20:O24)),AND(ISBLANK(AC20:AC24))), "·", bdRateExtend( M20:M24,O20:O24, AA20:AA24,AC20:AC24))</f>
        <v>-2.0932304479311936E-3</v>
      </c>
      <c r="AN20" s="35">
        <f t="array" ref="AN20">IF( OR(AND(ISBLANK(M20:M24)),AND(ISBLANK(AA20:AA24)), AND(ISBLANK(P20:P24)),AND(ISBLANK(AD20:AD24))), "·", bdRateExtend( M20:M24,P20:P24, AA20:AA24,AD20:AD24))</f>
        <v>0.23305811141297461</v>
      </c>
      <c r="AO20" s="35">
        <f t="array" ref="AO20">IF( OR(AND(ISBLANK(M20:M24)),AND(ISBLANK(AA20:AA24)), AND(ISBLANK(Q20:Q24)),AND(ISBLANK(AE20:AE24))), "·", bdRateExtend( M20:M24,Q20:Q24, AA20:AA24,AE20:AE24))</f>
        <v>0.12864691823797259</v>
      </c>
      <c r="AP20" s="35">
        <f t="array" ref="AP20">IF( OR(AND(ISBLANK(M20:M24)),AND(ISBLANK(AA20:AA24)), AND(ISBLANK(R20:R24)),AND(ISBLANK(AF20:AF24))), "·", bdRateExtend( M20:M24,R20:R24, AA20:AA24,AF20:AF24))</f>
        <v>0.15716267430420294</v>
      </c>
      <c r="AQ20" s="35">
        <f t="array" ref="AQ20">IF( OR(AND(ISBLANK(M20:M24)),AND(ISBLANK(AA20:AA24)), AND(ISBLANK(S20:S24)),AND(ISBLANK(AG20:AG24))), "·", bdRateExtend( M20:M24,S20:S24, AA20:AA24,AG20:AG24))</f>
        <v>-2.3556661738686202E-3</v>
      </c>
      <c r="AR20" s="35">
        <f t="array" ref="AR20">IF( OR(AND(ISBLANK(M20:M24)),AND(ISBLANK(AA20:AA24)), AND(ISBLANK(T20:T24)),AND(ISBLANK(AH20:AH24))), "·", bdRateExtend( M20:M24,T20:T24, AA20:AA24,AH20:AH24))</f>
        <v>6.9428152677721622E-2</v>
      </c>
    </row>
    <row r="21" spans="1:44" outlineLevel="1" x14ac:dyDescent="0.35">
      <c r="A21" s="12"/>
      <c r="B21" s="12" t="s">
        <v>58</v>
      </c>
      <c r="C21" s="14" t="s">
        <v>371</v>
      </c>
      <c r="D21" s="12">
        <v>11812090</v>
      </c>
      <c r="E21" s="13">
        <v>12</v>
      </c>
      <c r="F21" s="14">
        <v>32</v>
      </c>
      <c r="G21" s="14">
        <v>30</v>
      </c>
      <c r="H21" s="14">
        <v>5</v>
      </c>
      <c r="J21" s="15">
        <f t="shared" si="0"/>
        <v>4.4854649999999996</v>
      </c>
      <c r="K21" s="16">
        <f t="shared" si="1"/>
        <v>0.40505075731729101</v>
      </c>
      <c r="L21" s="39">
        <v>2417984</v>
      </c>
      <c r="M21" s="17">
        <v>4784496</v>
      </c>
      <c r="N21" s="40">
        <v>71.586763000000005</v>
      </c>
      <c r="O21" s="40">
        <v>72.899730599999998</v>
      </c>
      <c r="P21" s="40">
        <v>36.455519600000002</v>
      </c>
      <c r="Q21" s="40">
        <v>43.7766357</v>
      </c>
      <c r="R21" s="40">
        <v>45.554348500000003</v>
      </c>
      <c r="S21" s="40">
        <v>48.474926199999999</v>
      </c>
      <c r="T21" s="40">
        <v>32.1722313</v>
      </c>
      <c r="U21" s="18">
        <v>2131.1304070000001</v>
      </c>
      <c r="V21" s="18">
        <v>17.176423</v>
      </c>
      <c r="X21" s="15">
        <f t="shared" si="2"/>
        <v>4.6328025000000004</v>
      </c>
      <c r="Y21" s="16">
        <f t="shared" si="3"/>
        <v>0.41835576938543473</v>
      </c>
      <c r="Z21" s="39">
        <v>2417984</v>
      </c>
      <c r="AA21" s="17">
        <v>4941656</v>
      </c>
      <c r="AB21" s="40">
        <v>71.586738600000004</v>
      </c>
      <c r="AC21" s="40">
        <v>72.899703099999996</v>
      </c>
      <c r="AD21" s="40">
        <v>35.811161900000002</v>
      </c>
      <c r="AE21" s="40">
        <v>43.677251800000001</v>
      </c>
      <c r="AF21" s="40">
        <v>45.231366999999999</v>
      </c>
      <c r="AG21" s="40">
        <v>48.474339299999997</v>
      </c>
      <c r="AH21" s="40">
        <v>31.953103500000001</v>
      </c>
      <c r="AI21" s="18">
        <v>1603.6277279999999</v>
      </c>
      <c r="AJ21" s="18">
        <v>19.717396000000001</v>
      </c>
      <c r="AL21" s="19"/>
      <c r="AM21" s="19"/>
      <c r="AN21" s="19"/>
      <c r="AO21" s="19"/>
      <c r="AP21" s="19"/>
      <c r="AQ21" s="19"/>
      <c r="AR21" s="19"/>
    </row>
    <row r="22" spans="1:44" outlineLevel="1" x14ac:dyDescent="0.35">
      <c r="A22" s="28"/>
      <c r="B22" s="28" t="s">
        <v>58</v>
      </c>
      <c r="C22" s="30" t="s">
        <v>372</v>
      </c>
      <c r="D22" s="28">
        <v>11812090</v>
      </c>
      <c r="E22" s="29">
        <v>12</v>
      </c>
      <c r="F22" s="30">
        <v>32</v>
      </c>
      <c r="G22" s="30">
        <v>30</v>
      </c>
      <c r="H22" s="30">
        <v>10</v>
      </c>
      <c r="J22" s="31">
        <f t="shared" si="0"/>
        <v>7.5855600000000001</v>
      </c>
      <c r="K22" s="32">
        <f t="shared" si="1"/>
        <v>0.6849985057682425</v>
      </c>
      <c r="L22" s="41">
        <v>4836096</v>
      </c>
      <c r="M22" s="33">
        <v>8091264</v>
      </c>
      <c r="N22" s="42">
        <v>75.188922700000006</v>
      </c>
      <c r="O22" s="42">
        <v>76.987745899999993</v>
      </c>
      <c r="P22" s="42">
        <v>39.095718099999999</v>
      </c>
      <c r="Q22" s="42">
        <v>44.546574100000001</v>
      </c>
      <c r="R22" s="42">
        <v>46.844578800000001</v>
      </c>
      <c r="S22" s="42">
        <v>50.455557200000001</v>
      </c>
      <c r="T22" s="42">
        <v>34.886436699999997</v>
      </c>
      <c r="U22" s="34">
        <v>2270.7924269999999</v>
      </c>
      <c r="V22" s="34">
        <v>18.522423</v>
      </c>
      <c r="X22" s="31">
        <f t="shared" si="2"/>
        <v>7.9075875</v>
      </c>
      <c r="Y22" s="32">
        <f t="shared" si="3"/>
        <v>0.71407854156207751</v>
      </c>
      <c r="Z22" s="41">
        <v>4836096</v>
      </c>
      <c r="AA22" s="33">
        <v>8434760</v>
      </c>
      <c r="AB22" s="42">
        <v>75.188913700000001</v>
      </c>
      <c r="AC22" s="42">
        <v>76.987760499999993</v>
      </c>
      <c r="AD22" s="42">
        <v>38.328710700000002</v>
      </c>
      <c r="AE22" s="42">
        <v>44.3934754</v>
      </c>
      <c r="AF22" s="42">
        <v>46.478473899999997</v>
      </c>
      <c r="AG22" s="42">
        <v>50.455571800000001</v>
      </c>
      <c r="AH22" s="42">
        <v>34.597272099999998</v>
      </c>
      <c r="AI22" s="34">
        <v>1383.4067250000001</v>
      </c>
      <c r="AJ22" s="34">
        <v>18.618102</v>
      </c>
      <c r="AL22" s="35"/>
      <c r="AM22" s="35"/>
      <c r="AN22" s="35"/>
      <c r="AO22" s="35"/>
      <c r="AP22" s="35"/>
      <c r="AQ22" s="35"/>
      <c r="AR22" s="35"/>
    </row>
    <row r="23" spans="1:44" outlineLevel="1" x14ac:dyDescent="0.35">
      <c r="A23" s="12"/>
      <c r="B23" s="12" t="s">
        <v>58</v>
      </c>
      <c r="C23" s="14" t="s">
        <v>373</v>
      </c>
      <c r="D23" s="12">
        <v>11812090</v>
      </c>
      <c r="E23" s="13">
        <v>12</v>
      </c>
      <c r="F23" s="14">
        <v>32</v>
      </c>
      <c r="G23" s="14">
        <v>30</v>
      </c>
      <c r="H23" s="14">
        <v>14</v>
      </c>
      <c r="J23" s="15">
        <f t="shared" si="0"/>
        <v>11.948549999999999</v>
      </c>
      <c r="K23" s="16">
        <f t="shared" si="1"/>
        <v>1.0789894083096216</v>
      </c>
      <c r="L23" s="39">
        <v>4836096</v>
      </c>
      <c r="M23" s="17">
        <v>12745120</v>
      </c>
      <c r="N23" s="40">
        <v>76.476066599999996</v>
      </c>
      <c r="O23" s="40">
        <v>78.511051100000003</v>
      </c>
      <c r="P23" s="40">
        <v>40.927903399999998</v>
      </c>
      <c r="Q23" s="40">
        <v>45.538857</v>
      </c>
      <c r="R23" s="40">
        <v>48.364703200000001</v>
      </c>
      <c r="S23" s="40">
        <v>51.137091599999998</v>
      </c>
      <c r="T23" s="40">
        <v>36.048903299999999</v>
      </c>
      <c r="U23" s="18">
        <v>2297.750775</v>
      </c>
      <c r="V23" s="18">
        <v>18.954944999999999</v>
      </c>
      <c r="X23" s="15">
        <f t="shared" si="2"/>
        <v>12.525465000000001</v>
      </c>
      <c r="Y23" s="16">
        <f t="shared" si="3"/>
        <v>1.1310865392999885</v>
      </c>
      <c r="Z23" s="39">
        <v>4836096</v>
      </c>
      <c r="AA23" s="17">
        <v>13360496</v>
      </c>
      <c r="AB23" s="40">
        <v>76.476040400000002</v>
      </c>
      <c r="AC23" s="40">
        <v>78.511023399999999</v>
      </c>
      <c r="AD23" s="40">
        <v>40.037505299999999</v>
      </c>
      <c r="AE23" s="40">
        <v>45.3736228</v>
      </c>
      <c r="AF23" s="40">
        <v>48.066254100000002</v>
      </c>
      <c r="AG23" s="40">
        <v>51.137224400000001</v>
      </c>
      <c r="AH23" s="40">
        <v>35.749487299999998</v>
      </c>
      <c r="AI23" s="18">
        <v>1743.482665</v>
      </c>
      <c r="AJ23" s="18">
        <v>21.72287</v>
      </c>
      <c r="AL23" s="19"/>
      <c r="AM23" s="19"/>
      <c r="AN23" s="19"/>
      <c r="AO23" s="19"/>
      <c r="AP23" s="19"/>
      <c r="AQ23" s="19"/>
      <c r="AR23" s="19"/>
    </row>
    <row r="24" spans="1:44" ht="15.75" customHeight="1" outlineLevel="1" thickBot="1" x14ac:dyDescent="0.4">
      <c r="A24" s="20"/>
      <c r="B24" s="20" t="s">
        <v>58</v>
      </c>
      <c r="C24" s="22" t="s">
        <v>374</v>
      </c>
      <c r="D24" s="20">
        <v>11812090</v>
      </c>
      <c r="E24" s="21">
        <v>12</v>
      </c>
      <c r="F24" s="22">
        <v>32</v>
      </c>
      <c r="G24" s="22">
        <v>30</v>
      </c>
      <c r="H24" s="22">
        <v>21</v>
      </c>
      <c r="J24" s="23">
        <f t="shared" si="0"/>
        <v>23.219864999999999</v>
      </c>
      <c r="K24" s="24">
        <f t="shared" si="1"/>
        <v>2.0968224928865258</v>
      </c>
      <c r="L24" s="53">
        <v>1259636</v>
      </c>
      <c r="M24" s="25">
        <v>24767856</v>
      </c>
      <c r="N24" s="54">
        <v>999.99</v>
      </c>
      <c r="O24" s="54">
        <v>999.99</v>
      </c>
      <c r="P24" s="54">
        <v>41.318016999999998</v>
      </c>
      <c r="Q24" s="54">
        <v>45.380315299999999</v>
      </c>
      <c r="R24" s="54">
        <v>48.191897099999998</v>
      </c>
      <c r="S24" s="54">
        <v>999.99</v>
      </c>
      <c r="T24" s="54">
        <v>41.381419899999997</v>
      </c>
      <c r="U24" s="26">
        <v>1839.092862</v>
      </c>
      <c r="V24" s="26">
        <v>18.027839</v>
      </c>
      <c r="X24" s="23">
        <f t="shared" si="2"/>
        <v>22.779375000000002</v>
      </c>
      <c r="Y24" s="24">
        <f t="shared" si="3"/>
        <v>2.0570449429355855</v>
      </c>
      <c r="Z24" s="53">
        <v>1259636</v>
      </c>
      <c r="AA24" s="25">
        <v>24298000</v>
      </c>
      <c r="AB24" s="54">
        <v>999.99</v>
      </c>
      <c r="AC24" s="54">
        <v>999.99</v>
      </c>
      <c r="AD24" s="54">
        <v>41.320407000000003</v>
      </c>
      <c r="AE24" s="54">
        <v>45.381069699999998</v>
      </c>
      <c r="AF24" s="54">
        <v>48.199587299999997</v>
      </c>
      <c r="AG24" s="54">
        <v>999.99</v>
      </c>
      <c r="AH24" s="54">
        <v>41.383566999999999</v>
      </c>
      <c r="AI24" s="26">
        <v>1262.24575</v>
      </c>
      <c r="AJ24" s="26">
        <v>21.662065999999999</v>
      </c>
      <c r="AL24" s="27"/>
      <c r="AM24" s="27"/>
      <c r="AN24" s="27"/>
      <c r="AO24" s="27"/>
      <c r="AP24" s="27"/>
      <c r="AQ24" s="27"/>
      <c r="AR24" s="27"/>
    </row>
    <row r="25" spans="1:44" x14ac:dyDescent="0.35">
      <c r="A25" s="12" t="s">
        <v>175</v>
      </c>
      <c r="B25" s="12" t="s">
        <v>63</v>
      </c>
      <c r="C25" s="14" t="s">
        <v>370</v>
      </c>
      <c r="D25" s="12">
        <v>12000000</v>
      </c>
      <c r="E25" s="13">
        <v>12</v>
      </c>
      <c r="F25" s="14">
        <v>32</v>
      </c>
      <c r="G25" s="14">
        <v>30</v>
      </c>
      <c r="H25" s="14">
        <v>4</v>
      </c>
      <c r="J25" s="15">
        <f t="shared" si="0"/>
        <v>5.0688599999999999</v>
      </c>
      <c r="K25" s="16">
        <f t="shared" si="1"/>
        <v>0.45056533333333332</v>
      </c>
      <c r="L25" s="39">
        <v>4912768</v>
      </c>
      <c r="M25" s="17">
        <v>5406784</v>
      </c>
      <c r="N25" s="40">
        <v>73.324910700000004</v>
      </c>
      <c r="O25" s="40">
        <v>75.103150900000003</v>
      </c>
      <c r="P25" s="40">
        <v>31.5214997</v>
      </c>
      <c r="Q25" s="40">
        <v>40.384349700000001</v>
      </c>
      <c r="R25" s="40">
        <v>37.590428299999999</v>
      </c>
      <c r="S25" s="40">
        <v>45.0803783</v>
      </c>
      <c r="T25" s="40">
        <v>28.988192000000002</v>
      </c>
      <c r="U25" s="18">
        <v>6008.1995049999996</v>
      </c>
      <c r="V25" s="18">
        <v>64.872850999999997</v>
      </c>
      <c r="X25" s="15">
        <f t="shared" si="2"/>
        <v>4.9297950000000004</v>
      </c>
      <c r="Y25" s="16">
        <f t="shared" si="3"/>
        <v>0.43820399999999998</v>
      </c>
      <c r="Z25" s="39">
        <v>4912768</v>
      </c>
      <c r="AA25" s="17">
        <v>5258448</v>
      </c>
      <c r="AB25" s="40">
        <v>73.324809599999995</v>
      </c>
      <c r="AC25" s="40">
        <v>75.103038799999993</v>
      </c>
      <c r="AD25" s="40">
        <v>31.1720063</v>
      </c>
      <c r="AE25" s="40">
        <v>40.098870300000002</v>
      </c>
      <c r="AF25" s="40">
        <v>37.235698499999998</v>
      </c>
      <c r="AG25" s="40">
        <v>45.079853</v>
      </c>
      <c r="AH25" s="40">
        <v>28.796505400000001</v>
      </c>
      <c r="AI25" s="18">
        <v>5365.7091110000001</v>
      </c>
      <c r="AJ25" s="18">
        <v>66.419374000000005</v>
      </c>
      <c r="AL25" s="19">
        <f t="array" ref="AL25">IF( OR(AND(ISBLANK(M25:M29)),AND(ISBLANK(AA25:AA29)), AND(ISBLANK(N25:N29)),AND(ISBLANK(AB25:AB29))), "·", bdRateExtend( M25:M29,N25:N29, AA25:AA29,AB25:AB29))</f>
        <v>-2.3926962313699063E-2</v>
      </c>
      <c r="AM25" s="19">
        <f t="array" ref="AM25">IF( OR(AND(ISBLANK(M25:M29)),AND(ISBLANK(AA25:AA29)), AND(ISBLANK(O25:O29)),AND(ISBLANK(AC25:AC29))), "·", bdRateExtend( M25:M29,O25:O29, AA25:AA29,AC25:AC29))</f>
        <v>-2.4979856727018079E-2</v>
      </c>
      <c r="AN25" s="19">
        <f t="array" ref="AN25">IF( OR(AND(ISBLANK(M25:M29)),AND(ISBLANK(AA25:AA29)), AND(ISBLANK(P25:P29)),AND(ISBLANK(AD25:AD29))), "·", bdRateExtend( M25:M29,P25:P29, AA25:AA29,AD25:AD29))</f>
        <v>7.1900637576988613E-2</v>
      </c>
      <c r="AO25" s="19">
        <f t="array" ref="AO25">IF( OR(AND(ISBLANK(M25:M29)),AND(ISBLANK(AA25:AA29)), AND(ISBLANK(Q25:Q29)),AND(ISBLANK(AE25:AE29))), "·", bdRateExtend( M25:M29,Q25:Q29, AA25:AA29,AE25:AE29))</f>
        <v>9.7367379421126055E-2</v>
      </c>
      <c r="AP25" s="19">
        <f t="array" ref="AP25">IF( OR(AND(ISBLANK(M25:M29)),AND(ISBLANK(AA25:AA29)), AND(ISBLANK(R25:R29)),AND(ISBLANK(AF25:AF29))), "·", bdRateExtend( M25:M29,R25:R29, AA25:AA29,AF25:AF29))</f>
        <v>9.2580999769987571E-2</v>
      </c>
      <c r="AQ25" s="19">
        <f t="array" ref="AQ25">IF( OR(AND(ISBLANK(M25:M29)),AND(ISBLANK(AA25:AA29)), AND(ISBLANK(S25:S29)),AND(ISBLANK(AG25:AG29))), "·", bdRateExtend( M25:M29,S25:S29, AA25:AA29,AG25:AG29))</f>
        <v>-3.1335269687836509E-2</v>
      </c>
      <c r="AR25" s="19">
        <f t="array" ref="AR25">IF( OR(AND(ISBLANK(M25:M29)),AND(ISBLANK(AA25:AA29)), AND(ISBLANK(T25:T29)),AND(ISBLANK(AH25:AH29))), "·", bdRateExtend( M25:M29,T25:T29, AA25:AA29,AH25:AH29))</f>
        <v>1.9323675142538077E-2</v>
      </c>
    </row>
    <row r="26" spans="1:44" outlineLevel="1" x14ac:dyDescent="0.35">
      <c r="A26" s="28"/>
      <c r="B26" s="28" t="s">
        <v>63</v>
      </c>
      <c r="C26" s="30" t="s">
        <v>371</v>
      </c>
      <c r="D26" s="28">
        <v>12000000</v>
      </c>
      <c r="E26" s="29">
        <v>12</v>
      </c>
      <c r="F26" s="30">
        <v>32</v>
      </c>
      <c r="G26" s="30">
        <v>30</v>
      </c>
      <c r="H26" s="30">
        <v>8</v>
      </c>
      <c r="J26" s="31">
        <f t="shared" si="0"/>
        <v>7.1083724999999998</v>
      </c>
      <c r="K26" s="32">
        <f t="shared" si="1"/>
        <v>0.63185533333333332</v>
      </c>
      <c r="L26" s="41">
        <v>4912768</v>
      </c>
      <c r="M26" s="33">
        <v>7582264</v>
      </c>
      <c r="N26" s="42">
        <v>74.527038200000007</v>
      </c>
      <c r="O26" s="42">
        <v>76.488994899999994</v>
      </c>
      <c r="P26" s="42">
        <v>32.938456600000002</v>
      </c>
      <c r="Q26" s="42">
        <v>42.215449300000003</v>
      </c>
      <c r="R26" s="42">
        <v>39.658188699999997</v>
      </c>
      <c r="S26" s="42">
        <v>45.516765800000002</v>
      </c>
      <c r="T26" s="42">
        <v>30.091213</v>
      </c>
      <c r="U26" s="34">
        <v>6017.6929360000004</v>
      </c>
      <c r="V26" s="34">
        <v>65.865595999999996</v>
      </c>
      <c r="X26" s="31">
        <f t="shared" si="2"/>
        <v>7.0827600000000004</v>
      </c>
      <c r="Y26" s="32">
        <f t="shared" si="3"/>
        <v>0.62957866666666662</v>
      </c>
      <c r="Z26" s="41">
        <v>4912768</v>
      </c>
      <c r="AA26" s="33">
        <v>7554944</v>
      </c>
      <c r="AB26" s="42">
        <v>74.526633700000005</v>
      </c>
      <c r="AC26" s="42">
        <v>76.488418899999999</v>
      </c>
      <c r="AD26" s="42">
        <v>32.632473099999999</v>
      </c>
      <c r="AE26" s="42">
        <v>41.935998599999998</v>
      </c>
      <c r="AF26" s="42">
        <v>39.325428199999998</v>
      </c>
      <c r="AG26" s="42">
        <v>45.516831099999997</v>
      </c>
      <c r="AH26" s="42">
        <v>29.930107400000001</v>
      </c>
      <c r="AI26" s="34">
        <v>5601.3300010000003</v>
      </c>
      <c r="AJ26" s="34">
        <v>65.973506999999998</v>
      </c>
      <c r="AL26" s="35"/>
      <c r="AM26" s="35"/>
      <c r="AN26" s="35"/>
      <c r="AO26" s="35"/>
      <c r="AP26" s="35"/>
      <c r="AQ26" s="35"/>
      <c r="AR26" s="35"/>
    </row>
    <row r="27" spans="1:44" outlineLevel="1" x14ac:dyDescent="0.35">
      <c r="A27" s="12"/>
      <c r="B27" s="12" t="s">
        <v>63</v>
      </c>
      <c r="C27" s="14" t="s">
        <v>372</v>
      </c>
      <c r="D27" s="12">
        <v>12000000</v>
      </c>
      <c r="E27" s="13">
        <v>12</v>
      </c>
      <c r="F27" s="14">
        <v>32</v>
      </c>
      <c r="G27" s="14">
        <v>30</v>
      </c>
      <c r="H27" s="14">
        <v>12</v>
      </c>
      <c r="J27" s="15">
        <f t="shared" si="0"/>
        <v>10.819537499999999</v>
      </c>
      <c r="K27" s="16">
        <f t="shared" si="1"/>
        <v>0.96173666666666668</v>
      </c>
      <c r="L27" s="39">
        <v>2456992</v>
      </c>
      <c r="M27" s="17">
        <v>11540840</v>
      </c>
      <c r="N27" s="40">
        <v>77.443510099999997</v>
      </c>
      <c r="O27" s="40">
        <v>79.943787400000005</v>
      </c>
      <c r="P27" s="40">
        <v>34.329776000000003</v>
      </c>
      <c r="Q27" s="40">
        <v>43.361544700000003</v>
      </c>
      <c r="R27" s="40">
        <v>41.143743299999997</v>
      </c>
      <c r="S27" s="40">
        <v>47.019991699999999</v>
      </c>
      <c r="T27" s="40">
        <v>31.834276500000001</v>
      </c>
      <c r="U27" s="18">
        <v>6404.1821829999999</v>
      </c>
      <c r="V27" s="18">
        <v>65.648606999999998</v>
      </c>
      <c r="X27" s="15">
        <f t="shared" si="2"/>
        <v>10.7612025</v>
      </c>
      <c r="Y27" s="16">
        <f t="shared" si="3"/>
        <v>0.95655133333333331</v>
      </c>
      <c r="Z27" s="39">
        <v>2456992</v>
      </c>
      <c r="AA27" s="17">
        <v>11478616</v>
      </c>
      <c r="AB27" s="40">
        <v>77.443477400000006</v>
      </c>
      <c r="AC27" s="40">
        <v>79.943705499999993</v>
      </c>
      <c r="AD27" s="40">
        <v>34.079837099999999</v>
      </c>
      <c r="AE27" s="40">
        <v>43.115704000000001</v>
      </c>
      <c r="AF27" s="40">
        <v>40.850436000000002</v>
      </c>
      <c r="AG27" s="40">
        <v>47.019821999999998</v>
      </c>
      <c r="AH27" s="40">
        <v>31.680271900000001</v>
      </c>
      <c r="AI27" s="18">
        <v>5769.2954259999997</v>
      </c>
      <c r="AJ27" s="18">
        <v>82.917185000000003</v>
      </c>
      <c r="AL27" s="19"/>
      <c r="AM27" s="19"/>
      <c r="AN27" s="19"/>
      <c r="AO27" s="19"/>
      <c r="AP27" s="19"/>
      <c r="AQ27" s="19"/>
      <c r="AR27" s="19"/>
    </row>
    <row r="28" spans="1:44" outlineLevel="1" x14ac:dyDescent="0.35">
      <c r="A28" s="28"/>
      <c r="B28" s="28" t="s">
        <v>63</v>
      </c>
      <c r="C28" s="30" t="s">
        <v>373</v>
      </c>
      <c r="D28" s="28">
        <v>12000000</v>
      </c>
      <c r="E28" s="29">
        <v>12</v>
      </c>
      <c r="F28" s="30">
        <v>32</v>
      </c>
      <c r="G28" s="30">
        <v>30</v>
      </c>
      <c r="H28" s="30">
        <v>17</v>
      </c>
      <c r="J28" s="31">
        <f t="shared" si="0"/>
        <v>12.410354999999999</v>
      </c>
      <c r="K28" s="32">
        <f t="shared" si="1"/>
        <v>1.1031426666666666</v>
      </c>
      <c r="L28" s="41">
        <v>4914848</v>
      </c>
      <c r="M28" s="33">
        <v>13237712</v>
      </c>
      <c r="N28" s="42">
        <v>79.527927599999998</v>
      </c>
      <c r="O28" s="42">
        <v>82.634541200000001</v>
      </c>
      <c r="P28" s="42">
        <v>34.5638091</v>
      </c>
      <c r="Q28" s="42">
        <v>43.376177200000001</v>
      </c>
      <c r="R28" s="42">
        <v>41.223072799999997</v>
      </c>
      <c r="S28" s="42">
        <v>48.555155300000003</v>
      </c>
      <c r="T28" s="42">
        <v>32.746724200000003</v>
      </c>
      <c r="U28" s="34">
        <v>6920.2136700000001</v>
      </c>
      <c r="V28" s="34">
        <v>65.680408999999997</v>
      </c>
      <c r="X28" s="31">
        <f t="shared" si="2"/>
        <v>12.0941475</v>
      </c>
      <c r="Y28" s="32">
        <f t="shared" si="3"/>
        <v>1.0750353333333333</v>
      </c>
      <c r="Z28" s="41">
        <v>4914848</v>
      </c>
      <c r="AA28" s="33">
        <v>12900424</v>
      </c>
      <c r="AB28" s="42">
        <v>79.528078699999995</v>
      </c>
      <c r="AC28" s="42">
        <v>82.634802399999998</v>
      </c>
      <c r="AD28" s="42">
        <v>34.316814899999997</v>
      </c>
      <c r="AE28" s="42">
        <v>43.141626899999999</v>
      </c>
      <c r="AF28" s="42">
        <v>40.928728200000002</v>
      </c>
      <c r="AG28" s="42">
        <v>48.556640100000003</v>
      </c>
      <c r="AH28" s="42">
        <v>32.564989599999997</v>
      </c>
      <c r="AI28" s="34">
        <v>5033.8143579999996</v>
      </c>
      <c r="AJ28" s="34">
        <v>68.489700999999997</v>
      </c>
      <c r="AL28" s="35"/>
      <c r="AM28" s="35"/>
      <c r="AN28" s="35"/>
      <c r="AO28" s="35"/>
      <c r="AP28" s="35"/>
      <c r="AQ28" s="35"/>
      <c r="AR28" s="35"/>
    </row>
    <row r="29" spans="1:44" ht="15.75" customHeight="1" outlineLevel="1" thickBot="1" x14ac:dyDescent="0.4">
      <c r="A29" s="12"/>
      <c r="B29" s="43" t="s">
        <v>63</v>
      </c>
      <c r="C29" s="44" t="s">
        <v>374</v>
      </c>
      <c r="D29" s="43">
        <v>12000000</v>
      </c>
      <c r="E29" s="45">
        <v>12</v>
      </c>
      <c r="F29" s="44">
        <v>32</v>
      </c>
      <c r="G29" s="44">
        <v>30</v>
      </c>
      <c r="H29" s="44">
        <v>25</v>
      </c>
      <c r="J29" s="46">
        <f t="shared" si="0"/>
        <v>22.403759999999998</v>
      </c>
      <c r="K29" s="47">
        <f t="shared" si="1"/>
        <v>1.9914453333333333</v>
      </c>
      <c r="L29" s="48">
        <v>921591</v>
      </c>
      <c r="M29" s="49">
        <v>23897344</v>
      </c>
      <c r="N29" s="50">
        <v>85.9955164</v>
      </c>
      <c r="O29" s="50">
        <v>91.337711799999994</v>
      </c>
      <c r="P29" s="50">
        <v>35.982384500000002</v>
      </c>
      <c r="Q29" s="50">
        <v>44.041339800000003</v>
      </c>
      <c r="R29" s="50">
        <v>42.169474399999999</v>
      </c>
      <c r="S29" s="50">
        <v>55.644798000000002</v>
      </c>
      <c r="T29" s="50">
        <v>35.466217999999998</v>
      </c>
      <c r="U29" s="51">
        <v>9774.7411659999998</v>
      </c>
      <c r="V29" s="51">
        <v>66.955287999999996</v>
      </c>
      <c r="X29" s="46">
        <f t="shared" si="2"/>
        <v>21.51549</v>
      </c>
      <c r="Y29" s="47">
        <f t="shared" si="3"/>
        <v>1.912488</v>
      </c>
      <c r="Z29" s="48">
        <v>921591</v>
      </c>
      <c r="AA29" s="49">
        <v>22949856</v>
      </c>
      <c r="AB29" s="50">
        <v>85.9955164</v>
      </c>
      <c r="AC29" s="50">
        <v>91.337711799999994</v>
      </c>
      <c r="AD29" s="50">
        <v>35.782935199999997</v>
      </c>
      <c r="AE29" s="50">
        <v>43.817310900000003</v>
      </c>
      <c r="AF29" s="50">
        <v>41.909828099999999</v>
      </c>
      <c r="AG29" s="50">
        <v>55.644798000000002</v>
      </c>
      <c r="AH29" s="50">
        <v>35.266855900000003</v>
      </c>
      <c r="AI29" s="51">
        <v>5957.2842030000002</v>
      </c>
      <c r="AJ29" s="51">
        <v>108.27478600000001</v>
      </c>
      <c r="AL29" s="52"/>
      <c r="AM29" s="52"/>
      <c r="AN29" s="52"/>
      <c r="AO29" s="52"/>
      <c r="AP29" s="52"/>
      <c r="AQ29" s="52"/>
      <c r="AR29" s="52"/>
    </row>
    <row r="30" spans="1:44" x14ac:dyDescent="0.35">
      <c r="A30" s="28"/>
      <c r="B30" s="28" t="s">
        <v>68</v>
      </c>
      <c r="C30" s="30" t="s">
        <v>370</v>
      </c>
      <c r="D30" s="28">
        <v>5997654</v>
      </c>
      <c r="E30" s="29">
        <v>12</v>
      </c>
      <c r="F30" s="30">
        <v>32</v>
      </c>
      <c r="G30" s="30">
        <v>30</v>
      </c>
      <c r="H30" s="30">
        <v>4</v>
      </c>
      <c r="J30" s="31">
        <f t="shared" si="0"/>
        <v>4.6221075000000003</v>
      </c>
      <c r="K30" s="32">
        <f t="shared" si="1"/>
        <v>0.82202941350067882</v>
      </c>
      <c r="L30" s="41">
        <v>4885312</v>
      </c>
      <c r="M30" s="33">
        <v>4930248</v>
      </c>
      <c r="N30" s="42">
        <v>73.201354199999997</v>
      </c>
      <c r="O30" s="42">
        <v>74.811550100000005</v>
      </c>
      <c r="P30" s="42">
        <v>37.471127699999997</v>
      </c>
      <c r="Q30" s="42">
        <v>44.202924699999997</v>
      </c>
      <c r="R30" s="42">
        <v>42.919377900000001</v>
      </c>
      <c r="S30" s="42">
        <v>46.684344400000001</v>
      </c>
      <c r="T30" s="42">
        <v>34.334030900000002</v>
      </c>
      <c r="U30" s="34">
        <v>6651.7837550000004</v>
      </c>
      <c r="V30" s="34">
        <v>71.094082999999998</v>
      </c>
      <c r="X30" s="31">
        <f t="shared" si="2"/>
        <v>4.4502525000000004</v>
      </c>
      <c r="Y30" s="32">
        <f t="shared" si="3"/>
        <v>0.79146546299603149</v>
      </c>
      <c r="Z30" s="41">
        <v>4885312</v>
      </c>
      <c r="AA30" s="33">
        <v>4746936</v>
      </c>
      <c r="AB30" s="42">
        <v>73.201293199999995</v>
      </c>
      <c r="AC30" s="42">
        <v>74.811518599999999</v>
      </c>
      <c r="AD30" s="42">
        <v>37.103487999999999</v>
      </c>
      <c r="AE30" s="42">
        <v>44.011126900000001</v>
      </c>
      <c r="AF30" s="42">
        <v>42.646859499999998</v>
      </c>
      <c r="AG30" s="42">
        <v>46.684119699999997</v>
      </c>
      <c r="AH30" s="42">
        <v>34.164738200000002</v>
      </c>
      <c r="AI30" s="34">
        <v>5516.2370030000002</v>
      </c>
      <c r="AJ30" s="34">
        <v>69.784626000000003</v>
      </c>
      <c r="AL30" s="35">
        <f t="array" ref="AL30">IF( OR(AND(ISBLANK(M30:M34)),AND(ISBLANK(AA30:AA34)), AND(ISBLANK(N30:N34)),AND(ISBLANK(AB30:AB34))), "·", bdRateExtend( M30:M34,N30:N34, AA30:AA34,AB30:AB34))</f>
        <v>-4.2396393114990438E-2</v>
      </c>
      <c r="AM30" s="35">
        <f t="array" ref="AM30">IF( OR(AND(ISBLANK(M30:M34)),AND(ISBLANK(AA30:AA34)), AND(ISBLANK(O30:O34)),AND(ISBLANK(AC30:AC34))), "·", bdRateExtend( M30:M34,O30:O34, AA30:AA34,AC30:AC34))</f>
        <v>-4.3220657299781085E-2</v>
      </c>
      <c r="AN30" s="35">
        <f t="array" ref="AN30">IF( OR(AND(ISBLANK(M30:M34)),AND(ISBLANK(AA30:AA34)), AND(ISBLANK(P30:P34)),AND(ISBLANK(AD30:AD34))), "·", bdRateExtend( M30:M34,P30:P34, AA30:AA34,AD30:AD34))</f>
        <v>7.0707296261019126E-2</v>
      </c>
      <c r="AO30" s="35">
        <f t="array" ref="AO30">IF( OR(AND(ISBLANK(M30:M34)),AND(ISBLANK(AA30:AA34)), AND(ISBLANK(Q30:Q34)),AND(ISBLANK(AE30:AE34))), "·", bdRateExtend( M30:M34,Q30:Q34, AA30:AA34,AE30:AE34))</f>
        <v>8.8198010194508347E-2</v>
      </c>
      <c r="AP30" s="35">
        <f t="array" ref="AP30">IF( OR(AND(ISBLANK(M30:M34)),AND(ISBLANK(AA30:AA34)), AND(ISBLANK(R30:R34)),AND(ISBLANK(AF30:AF34))), "·", bdRateExtend( M30:M34,R30:R34, AA30:AA34,AF30:AF34))</f>
        <v>0.10093072024435568</v>
      </c>
      <c r="AQ30" s="35">
        <f t="array" ref="AQ30">IF( OR(AND(ISBLANK(M30:M34)),AND(ISBLANK(AA30:AA34)), AND(ISBLANK(S30:S34)),AND(ISBLANK(AG30:AG34))), "·", bdRateExtend( M30:M34,S30:S34, AA30:AA34,AG30:AG34))</f>
        <v>-4.4986743795269124E-2</v>
      </c>
      <c r="AR30" s="35">
        <f t="array" ref="AR30">IF( OR(AND(ISBLANK(M30:M34)),AND(ISBLANK(AA30:AA34)), AND(ISBLANK(T30:T34)),AND(ISBLANK(AH30:AH34))), "·", bdRateExtend( M30:M34,T30:T34, AA30:AA34,AH30:AH34))</f>
        <v>2.5281499680969155E-3</v>
      </c>
    </row>
    <row r="31" spans="1:44" outlineLevel="1" x14ac:dyDescent="0.35">
      <c r="A31" s="12"/>
      <c r="B31" s="12" t="s">
        <v>68</v>
      </c>
      <c r="C31" s="14" t="s">
        <v>371</v>
      </c>
      <c r="D31" s="12">
        <v>5997654</v>
      </c>
      <c r="E31" s="13">
        <v>12</v>
      </c>
      <c r="F31" s="14">
        <v>32</v>
      </c>
      <c r="G31" s="14">
        <v>30</v>
      </c>
      <c r="H31" s="14">
        <v>8</v>
      </c>
      <c r="J31" s="15">
        <f t="shared" si="0"/>
        <v>6.3286350000000002</v>
      </c>
      <c r="K31" s="16">
        <f t="shared" si="1"/>
        <v>1.1255307491895998</v>
      </c>
      <c r="L31" s="39">
        <v>4885312</v>
      </c>
      <c r="M31" s="17">
        <v>6750544</v>
      </c>
      <c r="N31" s="40">
        <v>74.416547100000003</v>
      </c>
      <c r="O31" s="40">
        <v>76.182307100000003</v>
      </c>
      <c r="P31" s="40">
        <v>39.112617800000002</v>
      </c>
      <c r="Q31" s="40">
        <v>45.095170199999998</v>
      </c>
      <c r="R31" s="40">
        <v>43.892584599999999</v>
      </c>
      <c r="S31" s="40">
        <v>47.294878500000003</v>
      </c>
      <c r="T31" s="40">
        <v>35.461262900000001</v>
      </c>
      <c r="U31" s="18">
        <v>6666.4338870000001</v>
      </c>
      <c r="V31" s="18">
        <v>72.867057000000003</v>
      </c>
      <c r="X31" s="15">
        <f t="shared" si="2"/>
        <v>6.18459</v>
      </c>
      <c r="Y31" s="16">
        <f t="shared" si="3"/>
        <v>1.0999127325450917</v>
      </c>
      <c r="Z31" s="39">
        <v>4885312</v>
      </c>
      <c r="AA31" s="17">
        <v>6596896</v>
      </c>
      <c r="AB31" s="40">
        <v>74.4169847</v>
      </c>
      <c r="AC31" s="40">
        <v>76.182193499999997</v>
      </c>
      <c r="AD31" s="40">
        <v>38.734278400000001</v>
      </c>
      <c r="AE31" s="40">
        <v>44.878328600000003</v>
      </c>
      <c r="AF31" s="40">
        <v>43.605572299999999</v>
      </c>
      <c r="AG31" s="40">
        <v>47.294898400000001</v>
      </c>
      <c r="AH31" s="40">
        <v>35.2975821</v>
      </c>
      <c r="AI31" s="18">
        <v>6130.2321419999998</v>
      </c>
      <c r="AJ31" s="18">
        <v>84.127915000000002</v>
      </c>
      <c r="AL31" s="19"/>
      <c r="AM31" s="19"/>
      <c r="AN31" s="19"/>
      <c r="AO31" s="19"/>
      <c r="AP31" s="19"/>
      <c r="AQ31" s="19"/>
      <c r="AR31" s="19"/>
    </row>
    <row r="32" spans="1:44" outlineLevel="1" x14ac:dyDescent="0.35">
      <c r="A32" s="28"/>
      <c r="B32" s="28" t="s">
        <v>68</v>
      </c>
      <c r="C32" s="30" t="s">
        <v>372</v>
      </c>
      <c r="D32" s="28">
        <v>5997654</v>
      </c>
      <c r="E32" s="29">
        <v>12</v>
      </c>
      <c r="F32" s="30">
        <v>32</v>
      </c>
      <c r="G32" s="30">
        <v>30</v>
      </c>
      <c r="H32" s="30">
        <v>12</v>
      </c>
      <c r="J32" s="31">
        <f t="shared" si="0"/>
        <v>9.9768825000000003</v>
      </c>
      <c r="K32" s="32">
        <f t="shared" si="1"/>
        <v>1.7743617754542025</v>
      </c>
      <c r="L32" s="41">
        <v>2450608</v>
      </c>
      <c r="M32" s="33">
        <v>10642008</v>
      </c>
      <c r="N32" s="42">
        <v>77.4708246</v>
      </c>
      <c r="O32" s="42">
        <v>79.701811699999993</v>
      </c>
      <c r="P32" s="42">
        <v>40.941040100000002</v>
      </c>
      <c r="Q32" s="42">
        <v>45.855102899999999</v>
      </c>
      <c r="R32" s="42">
        <v>44.811042899999997</v>
      </c>
      <c r="S32" s="42">
        <v>49.136744499999999</v>
      </c>
      <c r="T32" s="42">
        <v>37.407677900000003</v>
      </c>
      <c r="U32" s="34">
        <v>6776.7503509999997</v>
      </c>
      <c r="V32" s="34">
        <v>67.332192000000006</v>
      </c>
      <c r="X32" s="31">
        <f t="shared" si="2"/>
        <v>9.6367724999999993</v>
      </c>
      <c r="Y32" s="32">
        <f t="shared" si="3"/>
        <v>1.71387412478279</v>
      </c>
      <c r="Z32" s="41">
        <v>2450608</v>
      </c>
      <c r="AA32" s="33">
        <v>10279224</v>
      </c>
      <c r="AB32" s="42">
        <v>77.470534999999998</v>
      </c>
      <c r="AC32" s="42">
        <v>79.701684299999997</v>
      </c>
      <c r="AD32" s="42">
        <v>40.565779900000003</v>
      </c>
      <c r="AE32" s="42">
        <v>45.647214499999997</v>
      </c>
      <c r="AF32" s="42">
        <v>44.549235099999997</v>
      </c>
      <c r="AG32" s="42">
        <v>49.136828100000002</v>
      </c>
      <c r="AH32" s="42">
        <v>37.225175399999998</v>
      </c>
      <c r="AI32" s="34">
        <v>6053.198101</v>
      </c>
      <c r="AJ32" s="34">
        <v>87.783288999999996</v>
      </c>
      <c r="AL32" s="35"/>
      <c r="AM32" s="35"/>
      <c r="AN32" s="35"/>
      <c r="AO32" s="35"/>
      <c r="AP32" s="35"/>
      <c r="AQ32" s="35"/>
      <c r="AR32" s="35"/>
    </row>
    <row r="33" spans="1:44" outlineLevel="1" x14ac:dyDescent="0.35">
      <c r="A33" s="12"/>
      <c r="B33" s="12" t="s">
        <v>68</v>
      </c>
      <c r="C33" s="14" t="s">
        <v>373</v>
      </c>
      <c r="D33" s="12">
        <v>5997654</v>
      </c>
      <c r="E33" s="13">
        <v>12</v>
      </c>
      <c r="F33" s="14">
        <v>32</v>
      </c>
      <c r="G33" s="14">
        <v>30</v>
      </c>
      <c r="H33" s="14">
        <v>17</v>
      </c>
      <c r="J33" s="15">
        <f t="shared" si="0"/>
        <v>11.55939</v>
      </c>
      <c r="K33" s="16">
        <f t="shared" si="1"/>
        <v>2.055806487003085</v>
      </c>
      <c r="L33" s="39">
        <v>4909200</v>
      </c>
      <c r="M33" s="17">
        <v>12330016</v>
      </c>
      <c r="N33" s="40">
        <v>79.693982099999999</v>
      </c>
      <c r="O33" s="40">
        <v>82.453794200000004</v>
      </c>
      <c r="P33" s="40">
        <v>41.228892799999997</v>
      </c>
      <c r="Q33" s="40">
        <v>45.962630599999997</v>
      </c>
      <c r="R33" s="40">
        <v>44.923883699999998</v>
      </c>
      <c r="S33" s="40">
        <v>50.4942037</v>
      </c>
      <c r="T33" s="40">
        <v>38.465165399999997</v>
      </c>
      <c r="U33" s="18">
        <v>7332.467009</v>
      </c>
      <c r="V33" s="18">
        <v>68.411895000000001</v>
      </c>
      <c r="X33" s="15">
        <f t="shared" si="2"/>
        <v>10.8879</v>
      </c>
      <c r="Y33" s="16">
        <f t="shared" si="3"/>
        <v>1.9363837927296239</v>
      </c>
      <c r="Z33" s="39">
        <v>4909200</v>
      </c>
      <c r="AA33" s="17">
        <v>11613760</v>
      </c>
      <c r="AB33" s="40">
        <v>79.693957900000001</v>
      </c>
      <c r="AC33" s="40">
        <v>82.4536576</v>
      </c>
      <c r="AD33" s="40">
        <v>40.796891899999999</v>
      </c>
      <c r="AE33" s="40">
        <v>45.693035100000003</v>
      </c>
      <c r="AF33" s="40">
        <v>44.601080400000001</v>
      </c>
      <c r="AG33" s="40">
        <v>50.494395599999997</v>
      </c>
      <c r="AH33" s="40">
        <v>38.212833000000003</v>
      </c>
      <c r="AI33" s="18">
        <v>6039.6355020000001</v>
      </c>
      <c r="AJ33" s="18">
        <v>82.578937999999994</v>
      </c>
      <c r="AL33" s="19"/>
      <c r="AM33" s="19"/>
      <c r="AN33" s="19"/>
      <c r="AO33" s="19"/>
      <c r="AP33" s="19"/>
      <c r="AQ33" s="19"/>
      <c r="AR33" s="19"/>
    </row>
    <row r="34" spans="1:44" ht="15.75" customHeight="1" outlineLevel="1" thickBot="1" x14ac:dyDescent="0.4">
      <c r="A34" s="28"/>
      <c r="B34" s="20" t="s">
        <v>68</v>
      </c>
      <c r="C34" s="22" t="s">
        <v>374</v>
      </c>
      <c r="D34" s="20">
        <v>5997654</v>
      </c>
      <c r="E34" s="21">
        <v>12</v>
      </c>
      <c r="F34" s="22">
        <v>32</v>
      </c>
      <c r="G34" s="22">
        <v>30</v>
      </c>
      <c r="H34" s="22">
        <v>25</v>
      </c>
      <c r="J34" s="23">
        <f t="shared" si="0"/>
        <v>18.657697500000001</v>
      </c>
      <c r="K34" s="24">
        <f t="shared" si="1"/>
        <v>3.3182214245770094</v>
      </c>
      <c r="L34" s="53">
        <v>614149</v>
      </c>
      <c r="M34" s="25">
        <v>19901544</v>
      </c>
      <c r="N34" s="54">
        <v>83.276038999999997</v>
      </c>
      <c r="O34" s="54">
        <v>87.046021999999994</v>
      </c>
      <c r="P34" s="54">
        <v>43.058589099999999</v>
      </c>
      <c r="Q34" s="54">
        <v>47.0854669</v>
      </c>
      <c r="R34" s="54">
        <v>46.2602063</v>
      </c>
      <c r="S34" s="54">
        <v>53.335746899999997</v>
      </c>
      <c r="T34" s="54">
        <v>40.965384200000003</v>
      </c>
      <c r="U34" s="26">
        <v>8199.9582800000007</v>
      </c>
      <c r="V34" s="26">
        <v>66.941059999999993</v>
      </c>
      <c r="X34" s="23">
        <f t="shared" si="2"/>
        <v>17.783474999999999</v>
      </c>
      <c r="Y34" s="24">
        <f t="shared" si="3"/>
        <v>3.1627432992966917</v>
      </c>
      <c r="Z34" s="53">
        <v>614149</v>
      </c>
      <c r="AA34" s="25">
        <v>18969040</v>
      </c>
      <c r="AB34" s="54">
        <v>83.276038999999997</v>
      </c>
      <c r="AC34" s="54">
        <v>87.046084699999994</v>
      </c>
      <c r="AD34" s="54">
        <v>42.581349299999999</v>
      </c>
      <c r="AE34" s="54">
        <v>46.835281500000001</v>
      </c>
      <c r="AF34" s="54">
        <v>45.927552499999997</v>
      </c>
      <c r="AG34" s="54">
        <v>53.335746899999997</v>
      </c>
      <c r="AH34" s="54">
        <v>40.624038599999999</v>
      </c>
      <c r="AI34" s="26">
        <v>5814.1515849999996</v>
      </c>
      <c r="AJ34" s="26">
        <v>92.409350000000003</v>
      </c>
      <c r="AL34" s="27"/>
      <c r="AM34" s="27"/>
      <c r="AN34" s="27"/>
      <c r="AO34" s="27"/>
      <c r="AP34" s="27"/>
      <c r="AQ34" s="27"/>
      <c r="AR34" s="27"/>
    </row>
    <row r="35" spans="1:44" x14ac:dyDescent="0.35">
      <c r="A35" s="12"/>
      <c r="B35" s="12" t="s">
        <v>32</v>
      </c>
      <c r="C35" s="14" t="s">
        <v>370</v>
      </c>
      <c r="D35" s="12">
        <v>9000000</v>
      </c>
      <c r="E35" s="13">
        <v>12</v>
      </c>
      <c r="F35" s="14">
        <v>32</v>
      </c>
      <c r="G35" s="14">
        <v>30</v>
      </c>
      <c r="H35" s="14">
        <v>4</v>
      </c>
      <c r="J35" s="15">
        <f t="shared" si="0"/>
        <v>4.6469624999999999</v>
      </c>
      <c r="K35" s="16">
        <f t="shared" si="1"/>
        <v>0.55075111111111108</v>
      </c>
      <c r="L35" s="39">
        <v>3680768</v>
      </c>
      <c r="M35" s="17">
        <v>4956760</v>
      </c>
      <c r="N35" s="40">
        <v>71.302055600000003</v>
      </c>
      <c r="O35" s="40">
        <v>72.728129499999994</v>
      </c>
      <c r="P35" s="40">
        <v>29.679186399999999</v>
      </c>
      <c r="Q35" s="40">
        <v>38.5613934</v>
      </c>
      <c r="R35" s="40">
        <v>38.5141147</v>
      </c>
      <c r="S35" s="40">
        <v>47.342260699999997</v>
      </c>
      <c r="T35" s="40">
        <v>28.705802299999998</v>
      </c>
      <c r="U35" s="18">
        <v>6533.8292650000003</v>
      </c>
      <c r="V35" s="18">
        <v>63.591037</v>
      </c>
      <c r="X35" s="15">
        <f t="shared" si="2"/>
        <v>4.5480074999999998</v>
      </c>
      <c r="Y35" s="16">
        <f t="shared" si="3"/>
        <v>0.53902311111111112</v>
      </c>
      <c r="Z35" s="39">
        <v>3680768</v>
      </c>
      <c r="AA35" s="17">
        <v>4851208</v>
      </c>
      <c r="AB35" s="40">
        <v>71.302219300000004</v>
      </c>
      <c r="AC35" s="40">
        <v>72.728045499999993</v>
      </c>
      <c r="AD35" s="40">
        <v>29.412311500000001</v>
      </c>
      <c r="AE35" s="40">
        <v>38.612890999999998</v>
      </c>
      <c r="AF35" s="40">
        <v>38.360398199999999</v>
      </c>
      <c r="AG35" s="40">
        <v>47.342178500000003</v>
      </c>
      <c r="AH35" s="40">
        <v>28.530380099999999</v>
      </c>
      <c r="AI35" s="18">
        <v>5685.5570660000003</v>
      </c>
      <c r="AJ35" s="18">
        <v>64.497237999999996</v>
      </c>
      <c r="AL35" s="19">
        <f t="array" ref="AL35">IF( OR(AND(ISBLANK(M35:M39)),AND(ISBLANK(AA35:AA39)), AND(ISBLANK(N35:N39)),AND(ISBLANK(AB35:AB39))), "·", bdRateExtend( M35:M39,N35:N39, AA35:AA39,AB35:AB39))</f>
        <v>-2.3712867989440722E-2</v>
      </c>
      <c r="AM35" s="19">
        <f t="array" ref="AM35">IF( OR(AND(ISBLANK(M35:M39)),AND(ISBLANK(AA35:AA39)), AND(ISBLANK(O35:O39)),AND(ISBLANK(AC35:AC39))), "·", bdRateExtend( M35:M39,O35:O39, AA35:AA39,AC35:AC39))</f>
        <v>-2.3819499057176285E-2</v>
      </c>
      <c r="AN35" s="19">
        <f t="array" ref="AN35">IF( OR(AND(ISBLANK(M35:M39)),AND(ISBLANK(AA35:AA39)), AND(ISBLANK(P35:P39)),AND(ISBLANK(AD35:AD39))), "·", bdRateExtend( M35:M39,P35:P39, AA35:AA39,AD35:AD39))</f>
        <v>0.14449149067266465</v>
      </c>
      <c r="AO35" s="19">
        <f t="array" ref="AO35">IF( OR(AND(ISBLANK(M35:M39)),AND(ISBLANK(AA35:AA39)), AND(ISBLANK(Q35:Q39)),AND(ISBLANK(AE35:AE39))), "·", bdRateExtend( M35:M39,Q35:Q39, AA35:AA39,AE35:AE39))</f>
        <v>-3.5716147296786183E-2</v>
      </c>
      <c r="AP35" s="19">
        <f t="array" ref="AP35">IF( OR(AND(ISBLANK(M35:M39)),AND(ISBLANK(AA35:AA39)), AND(ISBLANK(R35:R39)),AND(ISBLANK(AF35:AF39))), "·", bdRateExtend( M35:M39,R35:R39, AA35:AA39,AF35:AF39))</f>
        <v>0.308823853554961</v>
      </c>
      <c r="AQ35" s="19">
        <f t="array" ref="AQ35">IF( OR(AND(ISBLANK(M35:M39)),AND(ISBLANK(AA35:AA39)), AND(ISBLANK(S35:S39)),AND(ISBLANK(AG35:AG39))), "·", bdRateExtend( M35:M39,S35:S39, AA35:AA39,AG35:AG39))</f>
        <v>-2.3381439865956533E-2</v>
      </c>
      <c r="AR35" s="19">
        <f t="array" ref="AR35">IF( OR(AND(ISBLANK(M35:M39)),AND(ISBLANK(AA35:AA39)), AND(ISBLANK(T35:T39)),AND(ISBLANK(AH35:AH39))), "·", bdRateExtend( M35:M39,T35:T39, AA35:AA39,AH35:AH39))</f>
        <v>6.0554531683814083E-2</v>
      </c>
    </row>
    <row r="36" spans="1:44" outlineLevel="1" x14ac:dyDescent="0.35">
      <c r="A36" s="28"/>
      <c r="B36" s="28" t="s">
        <v>32</v>
      </c>
      <c r="C36" s="30" t="s">
        <v>371</v>
      </c>
      <c r="D36" s="28">
        <v>9000000</v>
      </c>
      <c r="E36" s="29">
        <v>12</v>
      </c>
      <c r="F36" s="30">
        <v>32</v>
      </c>
      <c r="G36" s="30">
        <v>30</v>
      </c>
      <c r="H36" s="30">
        <v>6</v>
      </c>
      <c r="J36" s="31">
        <f t="shared" si="0"/>
        <v>6.0162674999999997</v>
      </c>
      <c r="K36" s="32">
        <f t="shared" si="1"/>
        <v>0.71303911111111107</v>
      </c>
      <c r="L36" s="41">
        <v>3680768</v>
      </c>
      <c r="M36" s="33">
        <v>6417352</v>
      </c>
      <c r="N36" s="42">
        <v>72.791070099999999</v>
      </c>
      <c r="O36" s="42">
        <v>74.381295699999995</v>
      </c>
      <c r="P36" s="42">
        <v>30.116962699999998</v>
      </c>
      <c r="Q36" s="42">
        <v>38.832603900000002</v>
      </c>
      <c r="R36" s="42">
        <v>38.905903899999998</v>
      </c>
      <c r="S36" s="42">
        <v>48.182656999999999</v>
      </c>
      <c r="T36" s="42">
        <v>29.157704599999999</v>
      </c>
      <c r="U36" s="34">
        <v>6340.7980950000001</v>
      </c>
      <c r="V36" s="34">
        <v>64.342160000000007</v>
      </c>
      <c r="X36" s="31">
        <f t="shared" si="2"/>
        <v>5.9075550000000003</v>
      </c>
      <c r="Y36" s="32">
        <f t="shared" si="3"/>
        <v>0.7001546666666667</v>
      </c>
      <c r="Z36" s="41">
        <v>3680768</v>
      </c>
      <c r="AA36" s="33">
        <v>6301392</v>
      </c>
      <c r="AB36" s="42">
        <v>72.791135499999996</v>
      </c>
      <c r="AC36" s="42">
        <v>74.381230099999996</v>
      </c>
      <c r="AD36" s="42">
        <v>29.8579738</v>
      </c>
      <c r="AE36" s="42">
        <v>38.845580499999997</v>
      </c>
      <c r="AF36" s="42">
        <v>38.735339400000001</v>
      </c>
      <c r="AG36" s="42">
        <v>48.182663400000003</v>
      </c>
      <c r="AH36" s="42">
        <v>28.977597400000001</v>
      </c>
      <c r="AI36" s="34">
        <v>6776.4253239999998</v>
      </c>
      <c r="AJ36" s="34">
        <v>79.816508999999996</v>
      </c>
      <c r="AL36" s="35"/>
      <c r="AM36" s="35"/>
      <c r="AN36" s="35"/>
      <c r="AO36" s="35"/>
      <c r="AP36" s="35"/>
      <c r="AQ36" s="35"/>
      <c r="AR36" s="35"/>
    </row>
    <row r="37" spans="1:44" outlineLevel="1" x14ac:dyDescent="0.35">
      <c r="A37" s="12"/>
      <c r="B37" s="12" t="s">
        <v>32</v>
      </c>
      <c r="C37" s="14" t="s">
        <v>372</v>
      </c>
      <c r="D37" s="12">
        <v>9000000</v>
      </c>
      <c r="E37" s="13">
        <v>12</v>
      </c>
      <c r="F37" s="14">
        <v>32</v>
      </c>
      <c r="G37" s="14">
        <v>30</v>
      </c>
      <c r="H37" s="14">
        <v>11</v>
      </c>
      <c r="J37" s="15">
        <f t="shared" si="0"/>
        <v>8.0348924999999998</v>
      </c>
      <c r="K37" s="16">
        <f t="shared" si="1"/>
        <v>0.95228355555555555</v>
      </c>
      <c r="L37" s="39">
        <v>3680768</v>
      </c>
      <c r="M37" s="17">
        <v>8570552</v>
      </c>
      <c r="N37" s="40">
        <v>74.201550699999999</v>
      </c>
      <c r="O37" s="40">
        <v>75.930330499999997</v>
      </c>
      <c r="P37" s="40">
        <v>30.596360000000001</v>
      </c>
      <c r="Q37" s="40">
        <v>38.938030699999999</v>
      </c>
      <c r="R37" s="40">
        <v>39.055982899999997</v>
      </c>
      <c r="S37" s="40">
        <v>48.925004800000004</v>
      </c>
      <c r="T37" s="40">
        <v>29.643409200000001</v>
      </c>
      <c r="U37" s="18">
        <v>6015.1795169999996</v>
      </c>
      <c r="V37" s="18">
        <v>65.093327000000002</v>
      </c>
      <c r="X37" s="15">
        <f t="shared" si="2"/>
        <v>7.8851325000000001</v>
      </c>
      <c r="Y37" s="16">
        <f t="shared" si="3"/>
        <v>0.93453422222222227</v>
      </c>
      <c r="Z37" s="39">
        <v>3680768</v>
      </c>
      <c r="AA37" s="17">
        <v>8410808</v>
      </c>
      <c r="AB37" s="40">
        <v>74.201008299999998</v>
      </c>
      <c r="AC37" s="40">
        <v>75.930872399999998</v>
      </c>
      <c r="AD37" s="40">
        <v>30.332733099999999</v>
      </c>
      <c r="AE37" s="40">
        <v>38.932258699999998</v>
      </c>
      <c r="AF37" s="40">
        <v>38.887482200000001</v>
      </c>
      <c r="AG37" s="40">
        <v>48.9250039</v>
      </c>
      <c r="AH37" s="40">
        <v>29.454540699999999</v>
      </c>
      <c r="AI37" s="18">
        <v>6761.9504580000003</v>
      </c>
      <c r="AJ37" s="18">
        <v>81.199680000000001</v>
      </c>
      <c r="AL37" s="19"/>
      <c r="AM37" s="19"/>
      <c r="AN37" s="19"/>
      <c r="AO37" s="19"/>
      <c r="AP37" s="19"/>
      <c r="AQ37" s="19"/>
      <c r="AR37" s="19"/>
    </row>
    <row r="38" spans="1:44" outlineLevel="1" x14ac:dyDescent="0.35">
      <c r="A38" s="28"/>
      <c r="B38" s="28" t="s">
        <v>32</v>
      </c>
      <c r="C38" s="30" t="s">
        <v>373</v>
      </c>
      <c r="D38" s="28">
        <v>9000000</v>
      </c>
      <c r="E38" s="29">
        <v>12</v>
      </c>
      <c r="F38" s="30">
        <v>32</v>
      </c>
      <c r="G38" s="30">
        <v>30</v>
      </c>
      <c r="H38" s="30">
        <v>16</v>
      </c>
      <c r="J38" s="31">
        <f t="shared" si="0"/>
        <v>14.3651325</v>
      </c>
      <c r="K38" s="32">
        <f t="shared" si="1"/>
        <v>1.7025342222222222</v>
      </c>
      <c r="L38" s="41">
        <v>345320</v>
      </c>
      <c r="M38" s="33">
        <v>15322808</v>
      </c>
      <c r="N38" s="42">
        <v>78.8749234</v>
      </c>
      <c r="O38" s="42">
        <v>81.303758999999999</v>
      </c>
      <c r="P38" s="42">
        <v>31.398855999999999</v>
      </c>
      <c r="Q38" s="42">
        <v>39.032084099999999</v>
      </c>
      <c r="R38" s="42">
        <v>39.236460399999999</v>
      </c>
      <c r="S38" s="42">
        <v>51.458347699999997</v>
      </c>
      <c r="T38" s="42">
        <v>30.7591492</v>
      </c>
      <c r="U38" s="34">
        <v>6998.1513459999996</v>
      </c>
      <c r="V38" s="34">
        <v>65.619422999999998</v>
      </c>
      <c r="X38" s="31">
        <f t="shared" si="2"/>
        <v>13.3072275</v>
      </c>
      <c r="Y38" s="32">
        <f t="shared" si="3"/>
        <v>1.5771528888888888</v>
      </c>
      <c r="Z38" s="41">
        <v>345320</v>
      </c>
      <c r="AA38" s="33">
        <v>14194376</v>
      </c>
      <c r="AB38" s="42">
        <v>78.8749234</v>
      </c>
      <c r="AC38" s="42">
        <v>81.303758999999999</v>
      </c>
      <c r="AD38" s="42">
        <v>31.079673499999998</v>
      </c>
      <c r="AE38" s="42">
        <v>39.026146300000001</v>
      </c>
      <c r="AF38" s="42">
        <v>39.077314999999999</v>
      </c>
      <c r="AG38" s="42">
        <v>51.458347699999997</v>
      </c>
      <c r="AH38" s="42">
        <v>30.4801471</v>
      </c>
      <c r="AI38" s="34">
        <v>5616.2725899999996</v>
      </c>
      <c r="AJ38" s="34">
        <v>68.769754000000006</v>
      </c>
      <c r="AL38" s="35"/>
      <c r="AM38" s="35"/>
      <c r="AN38" s="35"/>
      <c r="AO38" s="35"/>
      <c r="AP38" s="35"/>
      <c r="AQ38" s="35"/>
      <c r="AR38" s="35"/>
    </row>
    <row r="39" spans="1:44" ht="15.75" customHeight="1" outlineLevel="1" thickBot="1" x14ac:dyDescent="0.4">
      <c r="A39" s="12"/>
      <c r="B39" s="43" t="s">
        <v>32</v>
      </c>
      <c r="C39" s="44" t="s">
        <v>374</v>
      </c>
      <c r="D39" s="43">
        <v>9000000</v>
      </c>
      <c r="E39" s="45">
        <v>12</v>
      </c>
      <c r="F39" s="44">
        <v>32</v>
      </c>
      <c r="G39" s="44">
        <v>30</v>
      </c>
      <c r="H39" s="44">
        <v>24</v>
      </c>
      <c r="J39" s="46">
        <f t="shared" si="0"/>
        <v>24.60765</v>
      </c>
      <c r="K39" s="47">
        <f t="shared" si="1"/>
        <v>2.9164622222222221</v>
      </c>
      <c r="L39" s="48">
        <v>959262</v>
      </c>
      <c r="M39" s="49">
        <v>26248160</v>
      </c>
      <c r="N39" s="50">
        <v>999.99</v>
      </c>
      <c r="O39" s="50">
        <v>999.99</v>
      </c>
      <c r="P39" s="50">
        <v>31.960914899999999</v>
      </c>
      <c r="Q39" s="50">
        <v>39.078556599999999</v>
      </c>
      <c r="R39" s="50">
        <v>39.2919658</v>
      </c>
      <c r="S39" s="50">
        <v>999.99</v>
      </c>
      <c r="T39" s="50">
        <v>31.9384956</v>
      </c>
      <c r="U39" s="51">
        <v>7614.60232</v>
      </c>
      <c r="V39" s="51">
        <v>85.246668999999997</v>
      </c>
      <c r="X39" s="46">
        <f t="shared" si="2"/>
        <v>24.472004999999999</v>
      </c>
      <c r="Y39" s="47">
        <f t="shared" si="3"/>
        <v>2.9003857777777777</v>
      </c>
      <c r="Z39" s="48">
        <v>959262</v>
      </c>
      <c r="AA39" s="49">
        <v>26103472</v>
      </c>
      <c r="AB39" s="50">
        <v>999.99</v>
      </c>
      <c r="AC39" s="50">
        <v>999.99</v>
      </c>
      <c r="AD39" s="50">
        <v>31.9620107</v>
      </c>
      <c r="AE39" s="50">
        <v>39.087687500000001</v>
      </c>
      <c r="AF39" s="50">
        <v>39.293339600000003</v>
      </c>
      <c r="AG39" s="50">
        <v>999.99</v>
      </c>
      <c r="AH39" s="50">
        <v>31.9385865</v>
      </c>
      <c r="AI39" s="51">
        <v>4903.6553510000003</v>
      </c>
      <c r="AJ39" s="51">
        <v>67.765857999999994</v>
      </c>
      <c r="AL39" s="52"/>
      <c r="AM39" s="52"/>
      <c r="AN39" s="52"/>
      <c r="AO39" s="52"/>
      <c r="AP39" s="52"/>
      <c r="AQ39" s="52"/>
      <c r="AR39" s="52"/>
    </row>
    <row r="40" spans="1:44" x14ac:dyDescent="0.35">
      <c r="A40" s="28"/>
      <c r="B40" s="28" t="s">
        <v>77</v>
      </c>
      <c r="C40" s="30" t="s">
        <v>370</v>
      </c>
      <c r="D40" s="28">
        <v>9000000</v>
      </c>
      <c r="E40" s="29">
        <v>12</v>
      </c>
      <c r="F40" s="30">
        <v>32</v>
      </c>
      <c r="G40" s="30">
        <v>30</v>
      </c>
      <c r="H40" s="30">
        <v>4</v>
      </c>
      <c r="J40" s="31">
        <f t="shared" si="0"/>
        <v>4.6679250000000003</v>
      </c>
      <c r="K40" s="32">
        <f t="shared" si="1"/>
        <v>0.55323555555555559</v>
      </c>
      <c r="L40" s="41">
        <v>3682816</v>
      </c>
      <c r="M40" s="33">
        <v>4979120</v>
      </c>
      <c r="N40" s="42">
        <v>71.772589999999994</v>
      </c>
      <c r="O40" s="42">
        <v>73.054673399999999</v>
      </c>
      <c r="P40" s="42">
        <v>32.629457000000002</v>
      </c>
      <c r="Q40" s="42">
        <v>42.363415600000003</v>
      </c>
      <c r="R40" s="42">
        <v>42.630890899999997</v>
      </c>
      <c r="S40" s="42">
        <v>47.8948581</v>
      </c>
      <c r="T40" s="42">
        <v>31.6212661</v>
      </c>
      <c r="U40" s="34">
        <v>7187.1953530000001</v>
      </c>
      <c r="V40" s="34">
        <v>88.350875000000002</v>
      </c>
      <c r="X40" s="31">
        <f t="shared" si="2"/>
        <v>4.6694624999999998</v>
      </c>
      <c r="Y40" s="32">
        <f t="shared" si="3"/>
        <v>0.55341777777777779</v>
      </c>
      <c r="Z40" s="41">
        <v>3682816</v>
      </c>
      <c r="AA40" s="33">
        <v>4980760</v>
      </c>
      <c r="AB40" s="42">
        <v>71.772644900000003</v>
      </c>
      <c r="AC40" s="42">
        <v>73.054706699999997</v>
      </c>
      <c r="AD40" s="42">
        <v>32.528719199999998</v>
      </c>
      <c r="AE40" s="42">
        <v>42.357955500000003</v>
      </c>
      <c r="AF40" s="42">
        <v>42.614347799999997</v>
      </c>
      <c r="AG40" s="42">
        <v>47.894924799999998</v>
      </c>
      <c r="AH40" s="42">
        <v>31.526737700000002</v>
      </c>
      <c r="AI40" s="34">
        <v>6287.8354710000003</v>
      </c>
      <c r="AJ40" s="34">
        <v>86.036715000000001</v>
      </c>
      <c r="AL40" s="35">
        <f t="array" ref="AL40">IF( OR(AND(ISBLANK(M40:M44)),AND(ISBLANK(AA40:AA44)), AND(ISBLANK(N40:N44)),AND(ISBLANK(AB40:AB44))), "·", bdRateExtend( M40:M44,N40:N44, AA40:AA44,AB40:AB44))</f>
        <v>-1.2731887533018238E-2</v>
      </c>
      <c r="AM40" s="35">
        <f t="array" ref="AM40">IF( OR(AND(ISBLANK(M40:M44)),AND(ISBLANK(AA40:AA44)), AND(ISBLANK(O40:O44)),AND(ISBLANK(AC40:AC44))), "·", bdRateExtend( M40:M44,O40:O44, AA40:AA44,AC40:AC44))</f>
        <v>-1.2760857721395236E-2</v>
      </c>
      <c r="AN40" s="35">
        <f t="array" ref="AN40">IF( OR(AND(ISBLANK(M40:M44)),AND(ISBLANK(AA40:AA44)), AND(ISBLANK(P40:P44)),AND(ISBLANK(AD40:AD44))), "·", bdRateExtend( M40:M44,P40:P44, AA40:AA44,AD40:AD44))</f>
        <v>6.598711990826267E-2</v>
      </c>
      <c r="AO40" s="35">
        <f t="array" ref="AO40">IF( OR(AND(ISBLANK(M40:M44)),AND(ISBLANK(AA40:AA44)), AND(ISBLANK(Q40:Q44)),AND(ISBLANK(AE40:AE44))), "·", bdRateExtend( M40:M44,Q40:Q44, AA40:AA44,AE40:AE44))</f>
        <v>-5.0595235648669412E-2</v>
      </c>
      <c r="AP40" s="35">
        <f t="array" ref="AP40">IF( OR(AND(ISBLANK(M40:M44)),AND(ISBLANK(AA40:AA44)), AND(ISBLANK(R40:R44)),AND(ISBLANK(AF40:AF44))), "·", bdRateExtend( M40:M44,R40:R44, AA40:AA44,AF40:AF44))</f>
        <v>4.8143362866531536E-2</v>
      </c>
      <c r="AQ40" s="35">
        <f t="array" ref="AQ40">IF( OR(AND(ISBLANK(M40:M44)),AND(ISBLANK(AA40:AA44)), AND(ISBLANK(S40:S44)),AND(ISBLANK(AG40:AG44))), "·", bdRateExtend( M40:M44,S40:S44, AA40:AA44,AG40:AG44))</f>
        <v>-1.266550308930281E-2</v>
      </c>
      <c r="AR40" s="35">
        <f t="array" ref="AR40">IF( OR(AND(ISBLANK(M40:M44)),AND(ISBLANK(AA40:AA44)), AND(ISBLANK(T40:T44)),AND(ISBLANK(AH40:AH44))), "·", bdRateExtend( M40:M44,T40:T44, AA40:AA44,AH40:AH44))</f>
        <v>4.1230860415119031E-2</v>
      </c>
    </row>
    <row r="41" spans="1:44" outlineLevel="1" x14ac:dyDescent="0.35">
      <c r="A41" s="12"/>
      <c r="B41" s="12" t="s">
        <v>77</v>
      </c>
      <c r="C41" s="14" t="s">
        <v>371</v>
      </c>
      <c r="D41" s="12">
        <v>9000000</v>
      </c>
      <c r="E41" s="13">
        <v>12</v>
      </c>
      <c r="F41" s="14">
        <v>32</v>
      </c>
      <c r="G41" s="14">
        <v>30</v>
      </c>
      <c r="H41" s="14">
        <v>6</v>
      </c>
      <c r="J41" s="15">
        <f t="shared" si="0"/>
        <v>5.9298000000000002</v>
      </c>
      <c r="K41" s="16">
        <f t="shared" si="1"/>
        <v>0.70279111111111114</v>
      </c>
      <c r="L41" s="39">
        <v>3682816</v>
      </c>
      <c r="M41" s="17">
        <v>6325120</v>
      </c>
      <c r="N41" s="40">
        <v>73.225280499999997</v>
      </c>
      <c r="O41" s="40">
        <v>74.655760599999994</v>
      </c>
      <c r="P41" s="40">
        <v>33.081751199999999</v>
      </c>
      <c r="Q41" s="40">
        <v>42.546721900000001</v>
      </c>
      <c r="R41" s="40">
        <v>42.901752199999997</v>
      </c>
      <c r="S41" s="40">
        <v>48.666862000000002</v>
      </c>
      <c r="T41" s="40">
        <v>32.104197300000003</v>
      </c>
      <c r="U41" s="18">
        <v>5463.9516949999997</v>
      </c>
      <c r="V41" s="18">
        <v>64.853886000000003</v>
      </c>
      <c r="X41" s="15">
        <f t="shared" si="2"/>
        <v>5.9517075000000004</v>
      </c>
      <c r="Y41" s="16">
        <f t="shared" si="3"/>
        <v>0.70538755555555555</v>
      </c>
      <c r="Z41" s="39">
        <v>3682816</v>
      </c>
      <c r="AA41" s="17">
        <v>6348488</v>
      </c>
      <c r="AB41" s="40">
        <v>73.224672100000006</v>
      </c>
      <c r="AC41" s="40">
        <v>74.655145300000001</v>
      </c>
      <c r="AD41" s="40">
        <v>32.976699699999998</v>
      </c>
      <c r="AE41" s="40">
        <v>42.5372664</v>
      </c>
      <c r="AF41" s="40">
        <v>42.888638</v>
      </c>
      <c r="AG41" s="40">
        <v>48.666781200000003</v>
      </c>
      <c r="AH41" s="40">
        <v>32.001493199999999</v>
      </c>
      <c r="AI41" s="18">
        <v>5556.1331879999998</v>
      </c>
      <c r="AJ41" s="18">
        <v>65.379543999999996</v>
      </c>
      <c r="AL41" s="19"/>
      <c r="AM41" s="19"/>
      <c r="AN41" s="19"/>
      <c r="AO41" s="19"/>
      <c r="AP41" s="19"/>
      <c r="AQ41" s="19"/>
      <c r="AR41" s="19"/>
    </row>
    <row r="42" spans="1:44" outlineLevel="1" x14ac:dyDescent="0.35">
      <c r="A42" s="28"/>
      <c r="B42" s="28" t="s">
        <v>77</v>
      </c>
      <c r="C42" s="30" t="s">
        <v>372</v>
      </c>
      <c r="D42" s="28">
        <v>9000000</v>
      </c>
      <c r="E42" s="29">
        <v>12</v>
      </c>
      <c r="F42" s="30">
        <v>32</v>
      </c>
      <c r="G42" s="30">
        <v>30</v>
      </c>
      <c r="H42" s="30">
        <v>11</v>
      </c>
      <c r="J42" s="31">
        <f t="shared" si="0"/>
        <v>7.8637050000000004</v>
      </c>
      <c r="K42" s="32">
        <f t="shared" si="1"/>
        <v>0.93199466666666664</v>
      </c>
      <c r="L42" s="41">
        <v>3682816</v>
      </c>
      <c r="M42" s="33">
        <v>8387952</v>
      </c>
      <c r="N42" s="42">
        <v>74.635751799999994</v>
      </c>
      <c r="O42" s="42">
        <v>76.222577799999996</v>
      </c>
      <c r="P42" s="42">
        <v>33.552824600000001</v>
      </c>
      <c r="Q42" s="42">
        <v>42.682899800000001</v>
      </c>
      <c r="R42" s="42">
        <v>43.149299900000003</v>
      </c>
      <c r="S42" s="42">
        <v>49.386750999999997</v>
      </c>
      <c r="T42" s="42">
        <v>32.583973700000001</v>
      </c>
      <c r="U42" s="34">
        <v>5445.2450220000001</v>
      </c>
      <c r="V42" s="34">
        <v>65.541261000000006</v>
      </c>
      <c r="X42" s="31">
        <f t="shared" si="2"/>
        <v>7.7932724999999996</v>
      </c>
      <c r="Y42" s="32">
        <f t="shared" si="3"/>
        <v>0.92364711111111109</v>
      </c>
      <c r="Z42" s="41">
        <v>3682816</v>
      </c>
      <c r="AA42" s="33">
        <v>8312824</v>
      </c>
      <c r="AB42" s="42">
        <v>74.635700400000005</v>
      </c>
      <c r="AC42" s="42">
        <v>76.222441099999998</v>
      </c>
      <c r="AD42" s="42">
        <v>33.4193736</v>
      </c>
      <c r="AE42" s="42">
        <v>42.689436800000003</v>
      </c>
      <c r="AF42" s="42">
        <v>43.109523099999997</v>
      </c>
      <c r="AG42" s="42">
        <v>49.386710999999998</v>
      </c>
      <c r="AH42" s="42">
        <v>32.465359499999998</v>
      </c>
      <c r="AI42" s="34">
        <v>5526.263164</v>
      </c>
      <c r="AJ42" s="34">
        <v>66.157535999999993</v>
      </c>
      <c r="AL42" s="35"/>
      <c r="AM42" s="35"/>
      <c r="AN42" s="35"/>
      <c r="AO42" s="35"/>
      <c r="AP42" s="35"/>
      <c r="AQ42" s="35"/>
      <c r="AR42" s="35"/>
    </row>
    <row r="43" spans="1:44" outlineLevel="1" x14ac:dyDescent="0.35">
      <c r="A43" s="12"/>
      <c r="B43" s="12" t="s">
        <v>77</v>
      </c>
      <c r="C43" s="14" t="s">
        <v>373</v>
      </c>
      <c r="D43" s="12">
        <v>9000000</v>
      </c>
      <c r="E43" s="13">
        <v>12</v>
      </c>
      <c r="F43" s="14">
        <v>32</v>
      </c>
      <c r="G43" s="14">
        <v>30</v>
      </c>
      <c r="H43" s="14">
        <v>16</v>
      </c>
      <c r="J43" s="15">
        <f t="shared" si="0"/>
        <v>14.018789999999999</v>
      </c>
      <c r="K43" s="16">
        <f t="shared" si="1"/>
        <v>1.6614862222222222</v>
      </c>
      <c r="L43" s="39">
        <v>345450</v>
      </c>
      <c r="M43" s="17">
        <v>14953376</v>
      </c>
      <c r="N43" s="40">
        <v>79.3651141</v>
      </c>
      <c r="O43" s="40">
        <v>81.638148000000001</v>
      </c>
      <c r="P43" s="40">
        <v>34.382055399999999</v>
      </c>
      <c r="Q43" s="40">
        <v>42.831275900000001</v>
      </c>
      <c r="R43" s="40">
        <v>43.398457999999998</v>
      </c>
      <c r="S43" s="40">
        <v>52.3824355</v>
      </c>
      <c r="T43" s="40">
        <v>33.854595099999997</v>
      </c>
      <c r="U43" s="18">
        <v>6489.4096140000001</v>
      </c>
      <c r="V43" s="18">
        <v>66.572344000000001</v>
      </c>
      <c r="X43" s="15">
        <f t="shared" si="2"/>
        <v>13.594365</v>
      </c>
      <c r="Y43" s="16">
        <f t="shared" si="3"/>
        <v>1.6111839999999999</v>
      </c>
      <c r="Z43" s="39">
        <v>345450</v>
      </c>
      <c r="AA43" s="17">
        <v>14500656</v>
      </c>
      <c r="AB43" s="40">
        <v>79.3651141</v>
      </c>
      <c r="AC43" s="40">
        <v>81.638148000000001</v>
      </c>
      <c r="AD43" s="40">
        <v>34.253370199999999</v>
      </c>
      <c r="AE43" s="40">
        <v>42.868408600000002</v>
      </c>
      <c r="AF43" s="40">
        <v>43.341438799999999</v>
      </c>
      <c r="AG43" s="40">
        <v>52.3824355</v>
      </c>
      <c r="AH43" s="40">
        <v>33.701613500000001</v>
      </c>
      <c r="AI43" s="18">
        <v>6259.3262619999996</v>
      </c>
      <c r="AJ43" s="18">
        <v>86.427256</v>
      </c>
      <c r="AL43" s="19"/>
      <c r="AM43" s="19"/>
      <c r="AN43" s="19"/>
      <c r="AO43" s="19"/>
      <c r="AP43" s="19"/>
      <c r="AQ43" s="19"/>
      <c r="AR43" s="19"/>
    </row>
    <row r="44" spans="1:44" ht="15.75" customHeight="1" outlineLevel="1" thickBot="1" x14ac:dyDescent="0.4">
      <c r="A44" s="20"/>
      <c r="B44" s="20" t="s">
        <v>77</v>
      </c>
      <c r="C44" s="22" t="s">
        <v>374</v>
      </c>
      <c r="D44" s="20">
        <v>9000000</v>
      </c>
      <c r="E44" s="21">
        <v>12</v>
      </c>
      <c r="F44" s="22">
        <v>32</v>
      </c>
      <c r="G44" s="22">
        <v>30</v>
      </c>
      <c r="H44" s="22">
        <v>24</v>
      </c>
      <c r="J44" s="23">
        <f t="shared" si="0"/>
        <v>23.1495675</v>
      </c>
      <c r="K44" s="24">
        <f t="shared" si="1"/>
        <v>2.7436524444444443</v>
      </c>
      <c r="L44" s="53">
        <v>959594</v>
      </c>
      <c r="M44" s="25">
        <v>24692872</v>
      </c>
      <c r="N44" s="54">
        <v>999.99</v>
      </c>
      <c r="O44" s="54">
        <v>999.99</v>
      </c>
      <c r="P44" s="54">
        <v>34.845751499999999</v>
      </c>
      <c r="Q44" s="54">
        <v>42.941726000000003</v>
      </c>
      <c r="R44" s="54">
        <v>43.573454499999997</v>
      </c>
      <c r="S44" s="54">
        <v>999.99</v>
      </c>
      <c r="T44" s="54">
        <v>34.833267399999997</v>
      </c>
      <c r="U44" s="26">
        <v>5106.261536</v>
      </c>
      <c r="V44" s="26">
        <v>66.658655999999993</v>
      </c>
      <c r="X44" s="23">
        <f t="shared" si="2"/>
        <v>22.997730000000001</v>
      </c>
      <c r="Y44" s="24">
        <f t="shared" si="3"/>
        <v>2.725656888888889</v>
      </c>
      <c r="Z44" s="53">
        <v>959594</v>
      </c>
      <c r="AA44" s="25">
        <v>24530912</v>
      </c>
      <c r="AB44" s="54">
        <v>999.99</v>
      </c>
      <c r="AC44" s="54">
        <v>999.99</v>
      </c>
      <c r="AD44" s="54">
        <v>34.845725799999997</v>
      </c>
      <c r="AE44" s="54">
        <v>42.954914899999999</v>
      </c>
      <c r="AF44" s="54">
        <v>43.596269700000001</v>
      </c>
      <c r="AG44" s="54">
        <v>999.99</v>
      </c>
      <c r="AH44" s="54">
        <v>34.831256400000001</v>
      </c>
      <c r="AI44" s="26">
        <v>5986.0260909999997</v>
      </c>
      <c r="AJ44" s="26">
        <v>73.547152999999994</v>
      </c>
      <c r="AL44" s="27"/>
      <c r="AM44" s="27"/>
      <c r="AN44" s="27"/>
      <c r="AO44" s="27"/>
      <c r="AP44" s="27"/>
      <c r="AQ44" s="27"/>
      <c r="AR44" s="27"/>
    </row>
    <row r="45" spans="1:44" x14ac:dyDescent="0.35">
      <c r="B45" s="36" t="s">
        <v>7</v>
      </c>
      <c r="K45" s="37">
        <f>AVERAGE(K5:K14)</f>
        <v>1.1636133937977882</v>
      </c>
      <c r="Y45" s="37">
        <f>AVERAGE(Y5:Y14)</f>
        <v>1.1480708135946038</v>
      </c>
      <c r="AL45" s="4">
        <f t="shared" ref="AL45:AR45" si="4">AVERAGE(AL5:AL14)</f>
        <v>-1.4094028264383662E-3</v>
      </c>
      <c r="AM45" s="4">
        <f t="shared" si="4"/>
        <v>-1.4376582086570999E-3</v>
      </c>
      <c r="AN45" s="4">
        <f t="shared" si="4"/>
        <v>0.1347430278807582</v>
      </c>
      <c r="AO45" s="4">
        <f t="shared" si="4"/>
        <v>0.1439082483989611</v>
      </c>
      <c r="AP45" s="4">
        <f t="shared" si="4"/>
        <v>0.14493961013990786</v>
      </c>
      <c r="AQ45" s="4">
        <f t="shared" si="4"/>
        <v>-1.3145189130927548E-3</v>
      </c>
      <c r="AR45" s="4">
        <f t="shared" si="4"/>
        <v>7.3528655500077256E-2</v>
      </c>
    </row>
    <row r="46" spans="1:44" x14ac:dyDescent="0.35">
      <c r="B46" s="36" t="s">
        <v>8</v>
      </c>
      <c r="K46" s="37">
        <f>AVERAGE(K15:K24)</f>
        <v>0.99690471030687156</v>
      </c>
      <c r="Y46" s="37">
        <f>AVERAGE(Y15:Y24)</f>
        <v>0.99895478794607606</v>
      </c>
      <c r="AL46" s="4">
        <f t="shared" ref="AL46:AR46" si="5">AVERAGE(AL15:AL24)</f>
        <v>-1.1969811787728046E-2</v>
      </c>
      <c r="AM46" s="4">
        <f t="shared" si="5"/>
        <v>-1.1953366826298883E-2</v>
      </c>
      <c r="AN46" s="4">
        <f t="shared" si="5"/>
        <v>0.24380077174343939</v>
      </c>
      <c r="AO46" s="4">
        <f t="shared" si="5"/>
        <v>8.6703589177549611E-2</v>
      </c>
      <c r="AP46" s="4">
        <f t="shared" si="5"/>
        <v>0.14355362836893271</v>
      </c>
      <c r="AQ46" s="4">
        <f t="shared" si="5"/>
        <v>-1.211609186481799E-2</v>
      </c>
      <c r="AR46" s="4">
        <f t="shared" si="5"/>
        <v>6.0367380311717289E-2</v>
      </c>
    </row>
    <row r="47" spans="1:44" x14ac:dyDescent="0.35">
      <c r="B47" s="36" t="s">
        <v>9</v>
      </c>
      <c r="K47" s="37">
        <f>AVERAGE(K25:K44)</f>
        <v>1.3831462702640067</v>
      </c>
      <c r="Y47" s="37">
        <f>AVERAGE(Y25:Y44)</f>
        <v>1.3443390372841781</v>
      </c>
      <c r="AL47" s="4">
        <f t="shared" ref="AL47:AR47" si="6">AVERAGE(AL25:AL44)</f>
        <v>-2.5692027737787115E-2</v>
      </c>
      <c r="AM47" s="4">
        <f t="shared" si="6"/>
        <v>-2.6195217701342671E-2</v>
      </c>
      <c r="AN47" s="4">
        <f t="shared" si="6"/>
        <v>8.8271636104733764E-2</v>
      </c>
      <c r="AO47" s="4">
        <f t="shared" si="6"/>
        <v>2.4813501667544702E-2</v>
      </c>
      <c r="AP47" s="4">
        <f t="shared" si="6"/>
        <v>0.13761973410895895</v>
      </c>
      <c r="AQ47" s="4">
        <f t="shared" si="6"/>
        <v>-2.8092239109591244E-2</v>
      </c>
      <c r="AR47" s="4">
        <f t="shared" si="6"/>
        <v>3.0909304302392027E-2</v>
      </c>
    </row>
    <row r="48" spans="1:44" x14ac:dyDescent="0.35">
      <c r="B48" s="36" t="s">
        <v>10</v>
      </c>
      <c r="K48" s="37">
        <f>AVERAGE(K5:K44)</f>
        <v>1.2317026611581681</v>
      </c>
      <c r="Y48" s="37">
        <f>AVERAGE(Y5:Y44)</f>
        <v>1.2089259190272592</v>
      </c>
      <c r="AL48" s="4">
        <f t="shared" ref="AL48:AR48" si="7">AVERAGE(AL5:AL44)</f>
        <v>-1.6190817522435161E-2</v>
      </c>
      <c r="AM48" s="4">
        <f t="shared" si="7"/>
        <v>-1.6445365109410331E-2</v>
      </c>
      <c r="AN48" s="4">
        <f t="shared" si="7"/>
        <v>0.13877176795841628</v>
      </c>
      <c r="AO48" s="4">
        <f t="shared" si="7"/>
        <v>7.0059710227900029E-2</v>
      </c>
      <c r="AP48" s="4">
        <f t="shared" si="7"/>
        <v>0.14093317668168961</v>
      </c>
      <c r="AQ48" s="4">
        <f t="shared" si="7"/>
        <v>-1.7403772249273308E-2</v>
      </c>
      <c r="AR48" s="4">
        <f t="shared" si="7"/>
        <v>4.892866110414465E-2</v>
      </c>
    </row>
    <row r="49" spans="1:36" x14ac:dyDescent="0.35">
      <c r="A49" s="36" t="s">
        <v>176</v>
      </c>
      <c r="B49" s="36" t="s">
        <v>177</v>
      </c>
      <c r="U49" s="38">
        <f>SUM(U5:U14,U15:U24,U25:U44)</f>
        <v>178594.30069999999</v>
      </c>
      <c r="V49" s="38">
        <f>SUM(V5:V14,V15:V24,V25:V44)</f>
        <v>1740.0911530000001</v>
      </c>
      <c r="AI49" s="38">
        <f>SUM(AI5:AI14,AI15:AI24,AI25:AI44)</f>
        <v>148076.63143199997</v>
      </c>
      <c r="AJ49" s="38">
        <f>SUM(AJ5:AJ14,AJ15:AJ24,AJ25:AJ44)</f>
        <v>1936.4374599999994</v>
      </c>
    </row>
    <row r="50" spans="1:36" x14ac:dyDescent="0.35">
      <c r="B50" s="36" t="s">
        <v>178</v>
      </c>
      <c r="AI50" s="57">
        <f>AI49/U49</f>
        <v>0.82912293870304887</v>
      </c>
      <c r="AJ50" s="57">
        <f>AJ49/V49</f>
        <v>1.1128367940159278</v>
      </c>
    </row>
  </sheetData>
  <mergeCells count="29">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 ref="A2:A3"/>
    <mergeCell ref="B2:B3"/>
    <mergeCell ref="C2:C3"/>
    <mergeCell ref="D2:D3"/>
    <mergeCell ref="E2:E3"/>
    <mergeCell ref="N2:R2"/>
    <mergeCell ref="S2:T2"/>
    <mergeCell ref="U2:U3"/>
    <mergeCell ref="F2:F3"/>
    <mergeCell ref="G2:G3"/>
    <mergeCell ref="H2:H3"/>
    <mergeCell ref="J2:J3"/>
    <mergeCell ref="K2:K3"/>
  </mergeCells>
  <conditionalFormatting sqref="AL5 AL6 AL7 AL8 AL9 AL10 AL11 AL12 AL13 AL14 AL15 AL16 AL17 AL18 AL19 AL20 AL21 AL22 AL23 AL24 AL25 AL26 AL27 AL28 AL29 AL30 AL31 AL32 AL33 AL34 AL35 AL36 AL37 AL38 AL39 AL40 AL41 AL42 AL43 AL44 AL45 AL46 AL47 AL48">
    <cfRule type="cellIs" dxfId="31" priority="3" operator="greaterThanOrEqual">
      <formula>0.03</formula>
    </cfRule>
    <cfRule type="cellIs" dxfId="30" priority="4"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29" priority="5" operator="greaterThanOrEqual">
      <formula>0.03</formula>
    </cfRule>
    <cfRule type="cellIs" dxfId="28" priority="6"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27" priority="13" operator="greaterThanOrEqual">
      <formula>0.03</formula>
    </cfRule>
    <cfRule type="cellIs" dxfId="26" priority="14"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25" priority="15" operator="greaterThanOrEqual">
      <formula>0.03</formula>
    </cfRule>
    <cfRule type="cellIs" dxfId="24" priority="16"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23" priority="7" operator="greaterThanOrEqual">
      <formula>0.03</formula>
    </cfRule>
    <cfRule type="cellIs" dxfId="22" priority="8"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21" priority="9" operator="greaterThanOrEqual">
      <formula>0.03</formula>
    </cfRule>
    <cfRule type="cellIs" dxfId="20" priority="10"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19" priority="11" operator="greaterThanOrEqual">
      <formula>0.03</formula>
    </cfRule>
    <cfRule type="cellIs" dxfId="18" priority="12" operator="lessThanOrEqual">
      <formula>-0.03</formula>
    </cfRule>
  </conditionalFormatting>
  <conditionalFormatting sqref="J5:J45">
    <cfRule type="expression" dxfId="17" priority="2">
      <formula>OR(J5 &lt; H5 * 0.9, J5 &gt; H5)</formula>
    </cfRule>
  </conditionalFormatting>
  <conditionalFormatting sqref="X5:X45">
    <cfRule type="expression" dxfId="16" priority="1">
      <formula>OR(X5 &lt; H5 * 0.9, X5 &gt; H5)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AS50"/>
  <sheetViews>
    <sheetView zoomScale="55" zoomScaleNormal="55" workbookViewId="0">
      <pane xSplit="2" ySplit="4" topLeftCell="I5" activePane="bottomRight" state="frozen"/>
      <selection pane="topRight" activeCell="C1" sqref="C1"/>
      <selection pane="bottomLeft" activeCell="A5" sqref="A5"/>
      <selection pane="bottomRight" activeCell="AU40" sqref="AU40"/>
    </sheetView>
  </sheetViews>
  <sheetFormatPr defaultColWidth="9.1796875" defaultRowHeight="14.5" outlineLevelRow="1" x14ac:dyDescent="0.35"/>
  <cols>
    <col min="2" max="2" width="24.7265625" style="3" customWidth="1"/>
    <col min="4" max="5" width="10.7265625" style="3" customWidth="1"/>
    <col min="9" max="9" width="1.7265625" style="3" customWidth="1"/>
    <col min="11" max="12" width="10.7265625" style="3" customWidth="1"/>
    <col min="13" max="13" width="12.7265625" style="3" customWidth="1"/>
    <col min="14" max="20" width="11.7265625" style="3" customWidth="1"/>
    <col min="23" max="23" width="1.7265625" style="3" customWidth="1"/>
    <col min="25" max="26" width="10.7265625" style="3" customWidth="1"/>
    <col min="27" max="27" width="12.7265625" style="3" customWidth="1"/>
    <col min="28" max="34" width="11.7265625" style="3" customWidth="1"/>
    <col min="37" max="37" width="1.7265625" style="3" customWidth="1"/>
    <col min="40" max="44" width="11.7265625" style="3" customWidth="1"/>
    <col min="45" max="45" width="1.7265625" style="3" customWidth="1"/>
  </cols>
  <sheetData>
    <row r="1" spans="1:44" x14ac:dyDescent="0.35">
      <c r="A1" s="73" t="s">
        <v>375</v>
      </c>
      <c r="B1" s="62"/>
      <c r="C1" s="62"/>
      <c r="D1" s="62"/>
      <c r="E1" s="62"/>
      <c r="F1" s="62"/>
      <c r="G1" s="62"/>
      <c r="H1" s="62"/>
      <c r="J1" s="61" t="str">
        <f>Summary!C1</f>
        <v>F032_v4.0 (no integration)</v>
      </c>
      <c r="K1" s="62"/>
      <c r="L1" s="62"/>
      <c r="M1" s="62"/>
      <c r="N1" s="62"/>
      <c r="O1" s="62"/>
      <c r="P1" s="62"/>
      <c r="Q1" s="62"/>
      <c r="R1" s="62"/>
      <c r="S1" s="62"/>
      <c r="T1" s="62"/>
      <c r="U1" s="62"/>
      <c r="V1" s="62"/>
      <c r="X1" s="63" t="str">
        <f>Summary!C2</f>
        <v>F032_v4.0+orthoAtlas-uv</v>
      </c>
      <c r="Y1" s="62"/>
      <c r="Z1" s="62"/>
      <c r="AA1" s="62"/>
      <c r="AB1" s="62"/>
      <c r="AC1" s="62"/>
      <c r="AD1" s="62"/>
      <c r="AE1" s="62"/>
      <c r="AF1" s="62"/>
      <c r="AG1" s="62"/>
      <c r="AH1" s="62"/>
      <c r="AI1" s="62"/>
      <c r="AJ1" s="62"/>
    </row>
    <row r="2" spans="1:44" ht="30" customHeight="1" x14ac:dyDescent="0.35">
      <c r="A2" s="72" t="s">
        <v>149</v>
      </c>
      <c r="B2" s="74" t="s">
        <v>150</v>
      </c>
      <c r="C2" s="72" t="s">
        <v>341</v>
      </c>
      <c r="D2" s="74" t="s">
        <v>151</v>
      </c>
      <c r="E2" s="72" t="s">
        <v>152</v>
      </c>
      <c r="F2" s="74" t="s">
        <v>153</v>
      </c>
      <c r="G2" s="72" t="s">
        <v>154</v>
      </c>
      <c r="H2" s="74" t="s">
        <v>342</v>
      </c>
      <c r="J2" s="72" t="s">
        <v>129</v>
      </c>
      <c r="K2" s="74" t="s">
        <v>133</v>
      </c>
      <c r="L2" s="72" t="s">
        <v>83</v>
      </c>
      <c r="M2" s="74" t="s">
        <v>122</v>
      </c>
      <c r="N2" s="75" t="s">
        <v>343</v>
      </c>
      <c r="O2" s="62"/>
      <c r="P2" s="62"/>
      <c r="Q2" s="62"/>
      <c r="R2" s="62"/>
      <c r="S2" s="76" t="s">
        <v>344</v>
      </c>
      <c r="T2" s="62"/>
      <c r="U2" s="72" t="s">
        <v>124</v>
      </c>
      <c r="V2" s="74" t="s">
        <v>104</v>
      </c>
      <c r="X2" s="72" t="s">
        <v>129</v>
      </c>
      <c r="Y2" s="74" t="s">
        <v>133</v>
      </c>
      <c r="Z2" s="72" t="s">
        <v>83</v>
      </c>
      <c r="AA2" s="74" t="s">
        <v>122</v>
      </c>
      <c r="AB2" s="75" t="s">
        <v>343</v>
      </c>
      <c r="AC2" s="62"/>
      <c r="AD2" s="62"/>
      <c r="AE2" s="62"/>
      <c r="AF2" s="62"/>
      <c r="AG2" s="76" t="s">
        <v>344</v>
      </c>
      <c r="AH2" s="62"/>
      <c r="AI2" s="72" t="s">
        <v>124</v>
      </c>
      <c r="AJ2" s="74" t="s">
        <v>104</v>
      </c>
      <c r="AL2" s="75" t="s">
        <v>15</v>
      </c>
      <c r="AM2" s="62"/>
      <c r="AN2" s="62"/>
      <c r="AO2" s="62"/>
      <c r="AP2" s="62"/>
      <c r="AQ2" s="76" t="s">
        <v>16</v>
      </c>
      <c r="AR2" s="62"/>
    </row>
    <row r="3" spans="1:44" ht="15.75" customHeight="1" thickBot="1" x14ac:dyDescent="0.4">
      <c r="A3" s="65"/>
      <c r="B3" s="65"/>
      <c r="C3" s="65"/>
      <c r="D3" s="65"/>
      <c r="E3" s="65"/>
      <c r="F3" s="65"/>
      <c r="G3" s="65"/>
      <c r="H3" s="65"/>
      <c r="J3" s="65"/>
      <c r="K3" s="65"/>
      <c r="L3" s="65"/>
      <c r="M3" s="65"/>
      <c r="N3" s="60" t="s">
        <v>17</v>
      </c>
      <c r="O3" s="60" t="s">
        <v>18</v>
      </c>
      <c r="P3" s="60" t="s">
        <v>19</v>
      </c>
      <c r="Q3" s="60" t="s">
        <v>20</v>
      </c>
      <c r="R3" s="60" t="s">
        <v>21</v>
      </c>
      <c r="S3" s="59" t="s">
        <v>22</v>
      </c>
      <c r="T3" s="59" t="s">
        <v>19</v>
      </c>
      <c r="U3" s="65"/>
      <c r="V3" s="65"/>
      <c r="X3" s="65"/>
      <c r="Y3" s="65"/>
      <c r="Z3" s="65"/>
      <c r="AA3" s="65"/>
      <c r="AB3" s="60" t="s">
        <v>17</v>
      </c>
      <c r="AC3" s="60" t="s">
        <v>18</v>
      </c>
      <c r="AD3" s="60" t="s">
        <v>19</v>
      </c>
      <c r="AE3" s="60" t="s">
        <v>20</v>
      </c>
      <c r="AF3" s="60" t="s">
        <v>21</v>
      </c>
      <c r="AG3" s="59" t="s">
        <v>22</v>
      </c>
      <c r="AH3" s="59" t="s">
        <v>19</v>
      </c>
      <c r="AI3" s="65"/>
      <c r="AJ3" s="65"/>
      <c r="AL3" s="60" t="s">
        <v>17</v>
      </c>
      <c r="AM3" s="60" t="s">
        <v>18</v>
      </c>
      <c r="AN3" s="60" t="s">
        <v>19</v>
      </c>
      <c r="AO3" s="60" t="s">
        <v>20</v>
      </c>
      <c r="AP3" s="60" t="s">
        <v>21</v>
      </c>
      <c r="AQ3" s="59" t="s">
        <v>22</v>
      </c>
      <c r="AR3" s="59" t="s">
        <v>19</v>
      </c>
    </row>
    <row r="4" spans="1:44" ht="53.25" hidden="1" customHeight="1" x14ac:dyDescent="0.35">
      <c r="A4" s="10" t="s">
        <v>156</v>
      </c>
      <c r="B4" s="11" t="s">
        <v>157</v>
      </c>
      <c r="C4" s="10" t="s">
        <v>345</v>
      </c>
      <c r="D4" s="11" t="s">
        <v>158</v>
      </c>
      <c r="E4" s="10" t="s">
        <v>159</v>
      </c>
      <c r="F4" s="11" t="s">
        <v>160</v>
      </c>
      <c r="G4" s="10" t="s">
        <v>161</v>
      </c>
      <c r="H4" s="11" t="s">
        <v>346</v>
      </c>
      <c r="J4" s="10" t="s">
        <v>162</v>
      </c>
      <c r="K4" s="11" t="s">
        <v>163</v>
      </c>
      <c r="L4" s="10" t="s">
        <v>347</v>
      </c>
      <c r="M4" s="11" t="s">
        <v>164</v>
      </c>
      <c r="N4" s="10" t="s">
        <v>348</v>
      </c>
      <c r="O4" s="10" t="s">
        <v>349</v>
      </c>
      <c r="P4" s="10" t="s">
        <v>350</v>
      </c>
      <c r="Q4" s="10" t="s">
        <v>351</v>
      </c>
      <c r="R4" s="10" t="s">
        <v>352</v>
      </c>
      <c r="S4" s="11" t="s">
        <v>353</v>
      </c>
      <c r="T4" s="11" t="s">
        <v>354</v>
      </c>
      <c r="U4" s="10" t="s">
        <v>165</v>
      </c>
      <c r="V4" s="11" t="s">
        <v>166</v>
      </c>
      <c r="X4" s="10" t="s">
        <v>167</v>
      </c>
      <c r="Y4" s="11" t="s">
        <v>168</v>
      </c>
      <c r="Z4" s="10" t="s">
        <v>355</v>
      </c>
      <c r="AA4" s="11" t="s">
        <v>169</v>
      </c>
      <c r="AB4" s="10" t="s">
        <v>356</v>
      </c>
      <c r="AC4" s="10" t="s">
        <v>357</v>
      </c>
      <c r="AD4" s="10" t="s">
        <v>358</v>
      </c>
      <c r="AE4" s="10" t="s">
        <v>359</v>
      </c>
      <c r="AF4" s="10" t="s">
        <v>360</v>
      </c>
      <c r="AG4" s="11" t="s">
        <v>361</v>
      </c>
      <c r="AH4" s="11" t="s">
        <v>362</v>
      </c>
      <c r="AI4" s="10" t="s">
        <v>170</v>
      </c>
      <c r="AJ4" s="11" t="s">
        <v>171</v>
      </c>
      <c r="AL4" s="10" t="s">
        <v>363</v>
      </c>
      <c r="AM4" s="10" t="s">
        <v>364</v>
      </c>
      <c r="AN4" s="10" t="s">
        <v>365</v>
      </c>
      <c r="AO4" s="10" t="s">
        <v>366</v>
      </c>
      <c r="AP4" s="10" t="s">
        <v>367</v>
      </c>
      <c r="AQ4" s="11" t="s">
        <v>368</v>
      </c>
      <c r="AR4" s="11" t="s">
        <v>369</v>
      </c>
    </row>
    <row r="5" spans="1:44" x14ac:dyDescent="0.35">
      <c r="A5" s="12" t="s">
        <v>173</v>
      </c>
      <c r="B5" s="12" t="s">
        <v>40</v>
      </c>
      <c r="C5" s="14" t="s">
        <v>370</v>
      </c>
      <c r="D5" s="12">
        <v>11997440</v>
      </c>
      <c r="E5" s="13">
        <v>10</v>
      </c>
      <c r="F5" s="14">
        <v>32</v>
      </c>
      <c r="G5" s="14">
        <v>30</v>
      </c>
      <c r="H5" s="14">
        <v>4</v>
      </c>
      <c r="J5" s="15">
        <f t="shared" ref="J5:J44" si="0">IF(OR(ISBLANK(M5),ISBLANK(G5)),"·",M5*G5/F5/1000000)</f>
        <v>4.8338324999999998</v>
      </c>
      <c r="K5" s="16">
        <f t="shared" ref="K5:K44" si="1">IF(ISBLANK(M5),"·",M5/D5)</f>
        <v>0.42976568334578041</v>
      </c>
      <c r="L5" s="39">
        <v>2415872</v>
      </c>
      <c r="M5" s="17">
        <v>5156088</v>
      </c>
      <c r="N5" s="40">
        <v>68.067207100000005</v>
      </c>
      <c r="O5" s="40">
        <v>69.049653000000006</v>
      </c>
      <c r="P5" s="40">
        <v>28.384539700000001</v>
      </c>
      <c r="Q5" s="40">
        <v>34.176665900000003</v>
      </c>
      <c r="R5" s="40">
        <v>33.740744399999997</v>
      </c>
      <c r="S5" s="40">
        <v>48.886397899999999</v>
      </c>
      <c r="T5" s="40">
        <v>27.0767916</v>
      </c>
      <c r="U5" s="18">
        <v>1912.7138600000001</v>
      </c>
      <c r="V5" s="18">
        <v>17.180454999999998</v>
      </c>
      <c r="X5" s="15">
        <f t="shared" ref="X5:X44" si="2">IF(OR(ISBLANK(AA5),ISBLANK(G5)),"·",AA5*G5/F5/1000000)</f>
        <v>4.7224349999999999</v>
      </c>
      <c r="Y5" s="16">
        <f t="shared" ref="Y5:Y44" si="3">IF(ISBLANK(AA5),"·",AA5/D5)</f>
        <v>0.41986157046836659</v>
      </c>
      <c r="Z5" s="39">
        <v>2415872</v>
      </c>
      <c r="AA5" s="17">
        <v>5037264</v>
      </c>
      <c r="AB5" s="40">
        <v>68.066564999999997</v>
      </c>
      <c r="AC5" s="40">
        <v>69.049057599999998</v>
      </c>
      <c r="AD5" s="40">
        <v>28.022912699999999</v>
      </c>
      <c r="AE5" s="40">
        <v>33.916444900000002</v>
      </c>
      <c r="AF5" s="40">
        <v>33.443511999999998</v>
      </c>
      <c r="AG5" s="40">
        <v>48.887348799999998</v>
      </c>
      <c r="AH5" s="40">
        <v>26.8265247</v>
      </c>
      <c r="AI5" s="18">
        <v>1771.4969550000001</v>
      </c>
      <c r="AJ5" s="18">
        <v>19.77459</v>
      </c>
      <c r="AL5" s="19">
        <f t="array" ref="AL5">IF( OR(AND(ISBLANK(M5:M9)),AND(ISBLANK(AA5:AA9)), AND(ISBLANK(N5:N9)),AND(ISBLANK(AB5:AB9))), "·", bdRateExtend( M5:M9,N5:N9, AA5:AA9,AB5:AB9))</f>
        <v>4.3599920972150485E-3</v>
      </c>
      <c r="AM5" s="19">
        <f t="array" ref="AM5">IF( OR(AND(ISBLANK(M5:M9)),AND(ISBLANK(AA5:AA9)), AND(ISBLANK(O5:O9)),AND(ISBLANK(AC5:AC9))), "·", bdRateExtend( M5:M9,O5:O9, AA5:AA9,AC5:AC9))</f>
        <v>4.361798253631699E-3</v>
      </c>
      <c r="AN5" s="19">
        <f t="array" ref="AN5">IF( OR(AND(ISBLANK(M5:M9)),AND(ISBLANK(AA5:AA9)), AND(ISBLANK(P5:P9)),AND(ISBLANK(AD5:AD9))), "·", bdRateExtend( M5:M9,P5:P9, AA5:AA9,AD5:AD9))</f>
        <v>0.11504102183296983</v>
      </c>
      <c r="AO5" s="19">
        <f t="array" ref="AO5">IF( OR(AND(ISBLANK(M5:M9)),AND(ISBLANK(AA5:AA9)), AND(ISBLANK(Q5:Q9)),AND(ISBLANK(AE5:AE9))), "·", bdRateExtend( M5:M9,Q5:Q9, AA5:AA9,AE5:AE9))</f>
        <v>0.12980470505740271</v>
      </c>
      <c r="AP5" s="19">
        <f t="array" ref="AP5">IF( OR(AND(ISBLANK(M5:M9)),AND(ISBLANK(AA5:AA9)), AND(ISBLANK(R5:R9)),AND(ISBLANK(AF5:AF9))), "·", bdRateExtend( M5:M9,R5:R9, AA5:AA9,AF5:AF9))</f>
        <v>0.13671433128326971</v>
      </c>
      <c r="AQ5" s="19">
        <f t="array" ref="AQ5">IF( OR(AND(ISBLANK(M5:M9)),AND(ISBLANK(AA5:AA9)), AND(ISBLANK(S5:S9)),AND(ISBLANK(AG5:AG9))), "·", bdRateExtend( M5:M9,S5:S9, AA5:AA9,AG5:AG9))</f>
        <v>4.3586193362552539E-3</v>
      </c>
      <c r="AR5" s="19">
        <f t="array" ref="AR5">IF( OR(AND(ISBLANK(M5:M9)),AND(ISBLANK(AA5:AA9)), AND(ISBLANK(T5:T9)),AND(ISBLANK(AH5:AH9))), "·", bdRateExtend( M5:M9,T5:T9, AA5:AA9,AH5:AH9))</f>
        <v>7.1390523164707176E-2</v>
      </c>
    </row>
    <row r="6" spans="1:44" outlineLevel="1" x14ac:dyDescent="0.35">
      <c r="A6" s="28"/>
      <c r="B6" s="28" t="s">
        <v>40</v>
      </c>
      <c r="C6" s="30" t="s">
        <v>371</v>
      </c>
      <c r="D6" s="28">
        <v>11997440</v>
      </c>
      <c r="E6" s="29">
        <v>10</v>
      </c>
      <c r="F6" s="30">
        <v>32</v>
      </c>
      <c r="G6" s="30">
        <v>30</v>
      </c>
      <c r="H6" s="30">
        <v>8</v>
      </c>
      <c r="J6" s="31">
        <f t="shared" si="0"/>
        <v>6.9448125000000003</v>
      </c>
      <c r="K6" s="32">
        <f t="shared" si="1"/>
        <v>0.61744838898965115</v>
      </c>
      <c r="L6" s="41">
        <v>2415872</v>
      </c>
      <c r="M6" s="33">
        <v>7407800</v>
      </c>
      <c r="N6" s="42">
        <v>69.125408300000004</v>
      </c>
      <c r="O6" s="42">
        <v>70.236529500000003</v>
      </c>
      <c r="P6" s="42">
        <v>29.8238117</v>
      </c>
      <c r="Q6" s="42">
        <v>35.472886699999997</v>
      </c>
      <c r="R6" s="42">
        <v>35.147626000000002</v>
      </c>
      <c r="S6" s="42">
        <v>49.422834600000002</v>
      </c>
      <c r="T6" s="42">
        <v>28.170070800000001</v>
      </c>
      <c r="U6" s="34">
        <v>1840.1694990000001</v>
      </c>
      <c r="V6" s="34">
        <v>15.958368</v>
      </c>
      <c r="X6" s="31">
        <f t="shared" si="2"/>
        <v>6.8908199999999997</v>
      </c>
      <c r="Y6" s="32">
        <f t="shared" si="3"/>
        <v>0.61264803158007042</v>
      </c>
      <c r="Z6" s="41">
        <v>2415872</v>
      </c>
      <c r="AA6" s="33">
        <v>7350208</v>
      </c>
      <c r="AB6" s="42">
        <v>69.125011200000003</v>
      </c>
      <c r="AC6" s="42">
        <v>70.236012900000006</v>
      </c>
      <c r="AD6" s="42">
        <v>29.416938300000002</v>
      </c>
      <c r="AE6" s="42">
        <v>35.180453800000002</v>
      </c>
      <c r="AF6" s="42">
        <v>34.813053699999998</v>
      </c>
      <c r="AG6" s="42">
        <v>49.4236</v>
      </c>
      <c r="AH6" s="42">
        <v>27.906323499999999</v>
      </c>
      <c r="AI6" s="34">
        <v>1582.569913</v>
      </c>
      <c r="AJ6" s="34">
        <v>18.390803999999999</v>
      </c>
      <c r="AL6" s="35"/>
      <c r="AM6" s="35"/>
      <c r="AN6" s="35"/>
      <c r="AO6" s="35"/>
      <c r="AP6" s="35"/>
      <c r="AQ6" s="35"/>
      <c r="AR6" s="35"/>
    </row>
    <row r="7" spans="1:44" outlineLevel="1" x14ac:dyDescent="0.35">
      <c r="A7" s="12"/>
      <c r="B7" s="12" t="s">
        <v>40</v>
      </c>
      <c r="C7" s="14" t="s">
        <v>372</v>
      </c>
      <c r="D7" s="12">
        <v>11997440</v>
      </c>
      <c r="E7" s="13">
        <v>10</v>
      </c>
      <c r="F7" s="14">
        <v>32</v>
      </c>
      <c r="G7" s="14">
        <v>30</v>
      </c>
      <c r="H7" s="14">
        <v>11</v>
      </c>
      <c r="J7" s="15">
        <f t="shared" si="0"/>
        <v>9.9642750000000007</v>
      </c>
      <c r="K7" s="16">
        <f t="shared" si="1"/>
        <v>0.88590232582951034</v>
      </c>
      <c r="L7" s="39">
        <v>4871680</v>
      </c>
      <c r="M7" s="17">
        <v>10628560</v>
      </c>
      <c r="N7" s="40">
        <v>72.8955263</v>
      </c>
      <c r="O7" s="40">
        <v>74.5445122</v>
      </c>
      <c r="P7" s="40">
        <v>31.442256700000002</v>
      </c>
      <c r="Q7" s="40">
        <v>35.991161699999999</v>
      </c>
      <c r="R7" s="40">
        <v>35.728839899999997</v>
      </c>
      <c r="S7" s="40">
        <v>51.518318899999997</v>
      </c>
      <c r="T7" s="40">
        <v>30.025870600000001</v>
      </c>
      <c r="U7" s="18">
        <v>2159.7600900000002</v>
      </c>
      <c r="V7" s="18">
        <v>18.134575999999999</v>
      </c>
      <c r="X7" s="15">
        <f t="shared" si="2"/>
        <v>9.9945299999999992</v>
      </c>
      <c r="Y7" s="16">
        <f t="shared" si="3"/>
        <v>0.88859223300970869</v>
      </c>
      <c r="Z7" s="39">
        <v>4871680</v>
      </c>
      <c r="AA7" s="17">
        <v>10660832</v>
      </c>
      <c r="AB7" s="40">
        <v>72.896064699999997</v>
      </c>
      <c r="AC7" s="40">
        <v>74.544631999999993</v>
      </c>
      <c r="AD7" s="40">
        <v>31.008558300000001</v>
      </c>
      <c r="AE7" s="40">
        <v>35.699946599999997</v>
      </c>
      <c r="AF7" s="40">
        <v>35.411318199999997</v>
      </c>
      <c r="AG7" s="40">
        <v>51.520184700000001</v>
      </c>
      <c r="AH7" s="40">
        <v>29.7018524</v>
      </c>
      <c r="AI7" s="18">
        <v>1544.26531</v>
      </c>
      <c r="AJ7" s="18">
        <v>18.650334999999998</v>
      </c>
      <c r="AL7" s="19"/>
      <c r="AM7" s="19"/>
      <c r="AN7" s="19"/>
      <c r="AO7" s="19"/>
      <c r="AP7" s="19"/>
      <c r="AQ7" s="19"/>
      <c r="AR7" s="19"/>
    </row>
    <row r="8" spans="1:44" outlineLevel="1" x14ac:dyDescent="0.35">
      <c r="A8" s="28"/>
      <c r="B8" s="28" t="s">
        <v>40</v>
      </c>
      <c r="C8" s="30" t="s">
        <v>373</v>
      </c>
      <c r="D8" s="28">
        <v>11997440</v>
      </c>
      <c r="E8" s="29">
        <v>10</v>
      </c>
      <c r="F8" s="30">
        <v>32</v>
      </c>
      <c r="G8" s="30">
        <v>30</v>
      </c>
      <c r="H8" s="30">
        <v>14</v>
      </c>
      <c r="J8" s="31">
        <f t="shared" si="0"/>
        <v>13.5753375</v>
      </c>
      <c r="K8" s="32">
        <f t="shared" si="1"/>
        <v>1.2069541502187133</v>
      </c>
      <c r="L8" s="41">
        <v>4871680</v>
      </c>
      <c r="M8" s="33">
        <v>14480360</v>
      </c>
      <c r="N8" s="42">
        <v>73.886487399999993</v>
      </c>
      <c r="O8" s="42">
        <v>75.697550100000001</v>
      </c>
      <c r="P8" s="42">
        <v>32.852823700000002</v>
      </c>
      <c r="Q8" s="42">
        <v>36.941897099999998</v>
      </c>
      <c r="R8" s="42">
        <v>36.699306300000003</v>
      </c>
      <c r="S8" s="42">
        <v>51.997675000000001</v>
      </c>
      <c r="T8" s="42">
        <v>31.156533</v>
      </c>
      <c r="U8" s="34">
        <v>2133.0310930000001</v>
      </c>
      <c r="V8" s="34">
        <v>18.344906999999999</v>
      </c>
      <c r="X8" s="31">
        <f t="shared" si="2"/>
        <v>13.77318</v>
      </c>
      <c r="Y8" s="32">
        <f t="shared" si="3"/>
        <v>1.2245439026992424</v>
      </c>
      <c r="Z8" s="41">
        <v>4871680</v>
      </c>
      <c r="AA8" s="33">
        <v>14691392</v>
      </c>
      <c r="AB8" s="42">
        <v>73.886855600000004</v>
      </c>
      <c r="AC8" s="42">
        <v>75.697575400000005</v>
      </c>
      <c r="AD8" s="42">
        <v>32.369879099999999</v>
      </c>
      <c r="AE8" s="42">
        <v>36.6296404</v>
      </c>
      <c r="AF8" s="42">
        <v>36.350698000000001</v>
      </c>
      <c r="AG8" s="42">
        <v>51.996648700000001</v>
      </c>
      <c r="AH8" s="42">
        <v>30.815619300000002</v>
      </c>
      <c r="AI8" s="34">
        <v>1867.799618</v>
      </c>
      <c r="AJ8" s="34">
        <v>21.054960999999999</v>
      </c>
      <c r="AL8" s="35"/>
      <c r="AM8" s="35"/>
      <c r="AN8" s="35"/>
      <c r="AO8" s="35"/>
      <c r="AP8" s="35"/>
      <c r="AQ8" s="35"/>
      <c r="AR8" s="35"/>
    </row>
    <row r="9" spans="1:44" ht="15.75" customHeight="1" outlineLevel="1" thickBot="1" x14ac:dyDescent="0.4">
      <c r="A9" s="12"/>
      <c r="B9" s="43" t="s">
        <v>40</v>
      </c>
      <c r="C9" s="44" t="s">
        <v>374</v>
      </c>
      <c r="D9" s="43">
        <v>11997440</v>
      </c>
      <c r="E9" s="45">
        <v>10</v>
      </c>
      <c r="F9" s="44">
        <v>32</v>
      </c>
      <c r="G9" s="44">
        <v>30</v>
      </c>
      <c r="H9" s="44">
        <v>21</v>
      </c>
      <c r="J9" s="46">
        <f t="shared" si="0"/>
        <v>22.806660000000001</v>
      </c>
      <c r="K9" s="47">
        <f t="shared" si="1"/>
        <v>2.027691240798037</v>
      </c>
      <c r="L9" s="48">
        <v>1279248</v>
      </c>
      <c r="M9" s="49">
        <v>24327104</v>
      </c>
      <c r="N9" s="50">
        <v>999.99</v>
      </c>
      <c r="O9" s="50">
        <v>999.99</v>
      </c>
      <c r="P9" s="50">
        <v>33.473650399999997</v>
      </c>
      <c r="Q9" s="50">
        <v>37.333696799999998</v>
      </c>
      <c r="R9" s="50">
        <v>37.099611500000002</v>
      </c>
      <c r="S9" s="50">
        <v>999.99</v>
      </c>
      <c r="T9" s="50">
        <v>33.379334700000001</v>
      </c>
      <c r="U9" s="51">
        <v>1491.166504</v>
      </c>
      <c r="V9" s="51">
        <v>22.836071</v>
      </c>
      <c r="X9" s="46">
        <f t="shared" si="2"/>
        <v>22.8289875</v>
      </c>
      <c r="Y9" s="47">
        <f t="shared" si="3"/>
        <v>2.0296763309506027</v>
      </c>
      <c r="Z9" s="48">
        <v>1279248</v>
      </c>
      <c r="AA9" s="49">
        <v>24350920</v>
      </c>
      <c r="AB9" s="50">
        <v>999.99</v>
      </c>
      <c r="AC9" s="50">
        <v>999.99</v>
      </c>
      <c r="AD9" s="50">
        <v>33.471295900000001</v>
      </c>
      <c r="AE9" s="50">
        <v>37.325451700000002</v>
      </c>
      <c r="AF9" s="50">
        <v>37.1070821</v>
      </c>
      <c r="AG9" s="50">
        <v>999.99</v>
      </c>
      <c r="AH9" s="50">
        <v>33.377561499999999</v>
      </c>
      <c r="AI9" s="51">
        <v>1466.54954</v>
      </c>
      <c r="AJ9" s="51">
        <v>20.605025999999999</v>
      </c>
      <c r="AL9" s="52"/>
      <c r="AM9" s="52"/>
      <c r="AN9" s="52"/>
      <c r="AO9" s="52"/>
      <c r="AP9" s="52"/>
      <c r="AQ9" s="52"/>
      <c r="AR9" s="52"/>
    </row>
    <row r="10" spans="1:44" x14ac:dyDescent="0.35">
      <c r="A10" s="28"/>
      <c r="B10" s="28" t="s">
        <v>48</v>
      </c>
      <c r="C10" s="30" t="s">
        <v>370</v>
      </c>
      <c r="D10" s="28">
        <v>9000000</v>
      </c>
      <c r="E10" s="29">
        <v>10</v>
      </c>
      <c r="F10" s="30">
        <v>32</v>
      </c>
      <c r="G10" s="30">
        <v>30</v>
      </c>
      <c r="H10" s="30">
        <v>4</v>
      </c>
      <c r="J10" s="31">
        <f t="shared" si="0"/>
        <v>1.5371999999999999</v>
      </c>
      <c r="K10" s="32">
        <f t="shared" si="1"/>
        <v>0.18218666666666666</v>
      </c>
      <c r="L10" s="41">
        <v>2412544</v>
      </c>
      <c r="M10" s="33">
        <v>1639680</v>
      </c>
      <c r="N10" s="42">
        <v>64.236003100000005</v>
      </c>
      <c r="O10" s="42">
        <v>64.859363299999998</v>
      </c>
      <c r="P10" s="42">
        <v>33.883449900000002</v>
      </c>
      <c r="Q10" s="42">
        <v>45.610619300000003</v>
      </c>
      <c r="R10" s="42">
        <v>45.880946999999999</v>
      </c>
      <c r="S10" s="42">
        <v>43.973058600000002</v>
      </c>
      <c r="T10" s="42">
        <v>29.7400223</v>
      </c>
      <c r="U10" s="34">
        <v>4258.0648460000002</v>
      </c>
      <c r="V10" s="34">
        <v>18.403175999999998</v>
      </c>
      <c r="X10" s="31">
        <f t="shared" si="2"/>
        <v>1.34097</v>
      </c>
      <c r="Y10" s="32">
        <f t="shared" si="3"/>
        <v>0.15892977777777778</v>
      </c>
      <c r="Z10" s="41">
        <v>2412544</v>
      </c>
      <c r="AA10" s="33">
        <v>1430368</v>
      </c>
      <c r="AB10" s="42">
        <v>64.206538499999994</v>
      </c>
      <c r="AC10" s="42">
        <v>64.826830900000004</v>
      </c>
      <c r="AD10" s="42">
        <v>33.272123000000001</v>
      </c>
      <c r="AE10" s="42">
        <v>45.281648099999998</v>
      </c>
      <c r="AF10" s="42">
        <v>45.611411799999999</v>
      </c>
      <c r="AG10" s="42">
        <v>43.958858200000002</v>
      </c>
      <c r="AH10" s="42">
        <v>29.578984200000001</v>
      </c>
      <c r="AI10" s="34">
        <v>3549.5837529999999</v>
      </c>
      <c r="AJ10" s="34">
        <v>15.669969999999999</v>
      </c>
      <c r="AL10" s="35">
        <f t="array" ref="AL10">IF( OR(AND(ISBLANK(M10:M14)),AND(ISBLANK(AA10:AA14)), AND(ISBLANK(N10:N14)),AND(ISBLANK(AB10:AB14))), "·", bdRateExtend( M10:M14,N10:N14, AA10:AA14,AB10:AB14))</f>
        <v>-8.9049814364190349E-2</v>
      </c>
      <c r="AM10" s="35">
        <f t="array" ref="AM10">IF( OR(AND(ISBLANK(M10:M14)),AND(ISBLANK(AA10:AA14)), AND(ISBLANK(O10:O14)),AND(ISBLANK(AC10:AC14))), "·", bdRateExtend( M10:M14,O10:O14, AA10:AA14,AC10:AC14))</f>
        <v>-8.848080280695847E-2</v>
      </c>
      <c r="AN10" s="35">
        <f t="array" ref="AN10">IF( OR(AND(ISBLANK(M10:M14)),AND(ISBLANK(AA10:AA14)), AND(ISBLANK(P10:P14)),AND(ISBLANK(AD10:AD14))), "·", bdRateExtend( M10:M14,P10:P14, AA10:AA14,AD10:AD14))</f>
        <v>0.51313842813801158</v>
      </c>
      <c r="AO10" s="35">
        <f t="array" ref="AO10">IF( OR(AND(ISBLANK(M10:M14)),AND(ISBLANK(AA10:AA14)), AND(ISBLANK(Q10:Q14)),AND(ISBLANK(AE10:AE14))), "·", bdRateExtend( M10:M14,Q10:Q14, AA10:AA14,AE10:AE14))</f>
        <v>0.32779526002434034</v>
      </c>
      <c r="AP10" s="35">
        <f t="array" ref="AP10">IF( OR(AND(ISBLANK(M10:M14)),AND(ISBLANK(AA10:AA14)), AND(ISBLANK(R10:R14)),AND(ISBLANK(AF10:AF14))), "·", bdRateExtend( M10:M14,R10:R14, AA10:AA14,AF10:AF14))</f>
        <v>0.34090296533662912</v>
      </c>
      <c r="AQ10" s="35">
        <f t="array" ref="AQ10">IF( OR(AND(ISBLANK(M10:M14)),AND(ISBLANK(AA10:AA14)), AND(ISBLANK(S10:S14)),AND(ISBLANK(AG10:AG14))), "·", bdRateExtend( M10:M14,S10:S14, AA10:AA14,AG10:AG14))</f>
        <v>-0.10169840051728241</v>
      </c>
      <c r="AR10" s="35">
        <f t="array" ref="AR10">IF( OR(AND(ISBLANK(M10:M14)),AND(ISBLANK(AA10:AA14)), AND(ISBLANK(T10:T14)),AND(ISBLANK(AH10:AH14))), "·", bdRateExtend( M10:M14,T10:T14, AA10:AA14,AH10:AH14))</f>
        <v>0.16040324627492342</v>
      </c>
    </row>
    <row r="11" spans="1:44" outlineLevel="1" x14ac:dyDescent="0.35">
      <c r="A11" s="12"/>
      <c r="B11" s="12" t="s">
        <v>48</v>
      </c>
      <c r="C11" s="14" t="s">
        <v>371</v>
      </c>
      <c r="D11" s="12">
        <v>9000000</v>
      </c>
      <c r="E11" s="13">
        <v>10</v>
      </c>
      <c r="F11" s="14">
        <v>32</v>
      </c>
      <c r="G11" s="14">
        <v>30</v>
      </c>
      <c r="H11" s="14">
        <v>8</v>
      </c>
      <c r="J11" s="15">
        <f t="shared" si="0"/>
        <v>4.5318224999999996</v>
      </c>
      <c r="K11" s="16">
        <f t="shared" si="1"/>
        <v>0.53710488888888885</v>
      </c>
      <c r="L11" s="39">
        <v>4841856</v>
      </c>
      <c r="M11" s="17">
        <v>4833944</v>
      </c>
      <c r="N11" s="40">
        <v>70.733020699999997</v>
      </c>
      <c r="O11" s="40">
        <v>72.196621899999997</v>
      </c>
      <c r="P11" s="40">
        <v>35.735233200000003</v>
      </c>
      <c r="Q11" s="40">
        <v>46.0173743</v>
      </c>
      <c r="R11" s="40">
        <v>46.474853799999998</v>
      </c>
      <c r="S11" s="40">
        <v>47.651109900000002</v>
      </c>
      <c r="T11" s="40">
        <v>33.129966099999997</v>
      </c>
      <c r="U11" s="18">
        <v>4505.7668409999997</v>
      </c>
      <c r="V11" s="18">
        <v>15.554523</v>
      </c>
      <c r="X11" s="15">
        <f t="shared" si="2"/>
        <v>4.4606325</v>
      </c>
      <c r="Y11" s="16">
        <f t="shared" si="3"/>
        <v>0.52866755555555556</v>
      </c>
      <c r="Z11" s="39">
        <v>4844864</v>
      </c>
      <c r="AA11" s="17">
        <v>4758008</v>
      </c>
      <c r="AB11" s="40">
        <v>70.817378399999996</v>
      </c>
      <c r="AC11" s="40">
        <v>72.290518000000006</v>
      </c>
      <c r="AD11" s="40">
        <v>34.700930200000002</v>
      </c>
      <c r="AE11" s="40">
        <v>45.591986499999997</v>
      </c>
      <c r="AF11" s="40">
        <v>45.996033099999998</v>
      </c>
      <c r="AG11" s="40">
        <v>47.738811099999999</v>
      </c>
      <c r="AH11" s="40">
        <v>32.576799899999997</v>
      </c>
      <c r="AI11" s="18">
        <v>3886.680852</v>
      </c>
      <c r="AJ11" s="18">
        <v>16.641994</v>
      </c>
      <c r="AL11" s="19"/>
      <c r="AM11" s="19"/>
      <c r="AN11" s="19"/>
      <c r="AO11" s="19"/>
      <c r="AP11" s="19"/>
      <c r="AQ11" s="19"/>
      <c r="AR11" s="19"/>
    </row>
    <row r="12" spans="1:44" outlineLevel="1" x14ac:dyDescent="0.35">
      <c r="A12" s="28"/>
      <c r="B12" s="28" t="s">
        <v>48</v>
      </c>
      <c r="C12" s="30" t="s">
        <v>372</v>
      </c>
      <c r="D12" s="28">
        <v>9000000</v>
      </c>
      <c r="E12" s="29">
        <v>10</v>
      </c>
      <c r="F12" s="30">
        <v>32</v>
      </c>
      <c r="G12" s="30">
        <v>30</v>
      </c>
      <c r="H12" s="30">
        <v>11</v>
      </c>
      <c r="J12" s="31">
        <f t="shared" si="0"/>
        <v>6.3282749999999997</v>
      </c>
      <c r="K12" s="32">
        <f t="shared" si="1"/>
        <v>0.75001777777777778</v>
      </c>
      <c r="L12" s="41">
        <v>4841856</v>
      </c>
      <c r="M12" s="33">
        <v>6750160</v>
      </c>
      <c r="N12" s="42">
        <v>71.893481800000004</v>
      </c>
      <c r="O12" s="42">
        <v>73.507742899999997</v>
      </c>
      <c r="P12" s="42">
        <v>36.2935807</v>
      </c>
      <c r="Q12" s="42">
        <v>46.367927299999998</v>
      </c>
      <c r="R12" s="42">
        <v>46.9380764</v>
      </c>
      <c r="S12" s="42">
        <v>48.272742600000001</v>
      </c>
      <c r="T12" s="42">
        <v>33.879057600000003</v>
      </c>
      <c r="U12" s="34">
        <v>4336.830258</v>
      </c>
      <c r="V12" s="34">
        <v>20.836297999999999</v>
      </c>
      <c r="X12" s="31">
        <f t="shared" si="2"/>
        <v>6.2673525000000003</v>
      </c>
      <c r="Y12" s="32">
        <f t="shared" si="3"/>
        <v>0.74279733333333331</v>
      </c>
      <c r="Z12" s="41">
        <v>4844864</v>
      </c>
      <c r="AA12" s="33">
        <v>6685176</v>
      </c>
      <c r="AB12" s="42">
        <v>72.039427700000005</v>
      </c>
      <c r="AC12" s="42">
        <v>73.695285299999995</v>
      </c>
      <c r="AD12" s="42">
        <v>35.240003999999999</v>
      </c>
      <c r="AE12" s="42">
        <v>45.925153899999998</v>
      </c>
      <c r="AF12" s="42">
        <v>46.368346699999996</v>
      </c>
      <c r="AG12" s="42">
        <v>48.455277100000004</v>
      </c>
      <c r="AH12" s="42">
        <v>33.288001299999998</v>
      </c>
      <c r="AI12" s="34">
        <v>3634.9121270000001</v>
      </c>
      <c r="AJ12" s="34">
        <v>17.201915</v>
      </c>
      <c r="AL12" s="35"/>
      <c r="AM12" s="35"/>
      <c r="AN12" s="35"/>
      <c r="AO12" s="35"/>
      <c r="AP12" s="35"/>
      <c r="AQ12" s="35"/>
      <c r="AR12" s="35"/>
    </row>
    <row r="13" spans="1:44" outlineLevel="1" x14ac:dyDescent="0.35">
      <c r="A13" s="12"/>
      <c r="B13" s="12" t="s">
        <v>48</v>
      </c>
      <c r="C13" s="14" t="s">
        <v>373</v>
      </c>
      <c r="D13" s="12">
        <v>9000000</v>
      </c>
      <c r="E13" s="13">
        <v>10</v>
      </c>
      <c r="F13" s="14">
        <v>32</v>
      </c>
      <c r="G13" s="14">
        <v>30</v>
      </c>
      <c r="H13" s="14">
        <v>14</v>
      </c>
      <c r="J13" s="15">
        <f t="shared" si="0"/>
        <v>8.6054624999999998</v>
      </c>
      <c r="K13" s="16">
        <f t="shared" si="1"/>
        <v>1.0199066666666667</v>
      </c>
      <c r="L13" s="39">
        <v>4841856</v>
      </c>
      <c r="M13" s="17">
        <v>9179160</v>
      </c>
      <c r="N13" s="40">
        <v>71.893481800000004</v>
      </c>
      <c r="O13" s="40">
        <v>73.507742899999997</v>
      </c>
      <c r="P13" s="40">
        <v>37.576422299999997</v>
      </c>
      <c r="Q13" s="40">
        <v>47.415949099999999</v>
      </c>
      <c r="R13" s="40">
        <v>48.010912500000003</v>
      </c>
      <c r="S13" s="40">
        <v>48.272742600000001</v>
      </c>
      <c r="T13" s="40">
        <v>34.488031399999997</v>
      </c>
      <c r="U13" s="18">
        <v>4544.9793749999999</v>
      </c>
      <c r="V13" s="18">
        <v>18.308717000000001</v>
      </c>
      <c r="X13" s="15">
        <f t="shared" si="2"/>
        <v>8.4629250000000003</v>
      </c>
      <c r="Y13" s="16">
        <f t="shared" si="3"/>
        <v>1.0030133333333333</v>
      </c>
      <c r="Z13" s="39">
        <v>4844864</v>
      </c>
      <c r="AA13" s="17">
        <v>9027120</v>
      </c>
      <c r="AB13" s="40">
        <v>72.039427700000005</v>
      </c>
      <c r="AC13" s="40">
        <v>73.695285299999995</v>
      </c>
      <c r="AD13" s="40">
        <v>36.538460200000003</v>
      </c>
      <c r="AE13" s="40">
        <v>46.878863699999997</v>
      </c>
      <c r="AF13" s="40">
        <v>47.4667496</v>
      </c>
      <c r="AG13" s="40">
        <v>48.455277100000004</v>
      </c>
      <c r="AH13" s="40">
        <v>33.998237199999998</v>
      </c>
      <c r="AI13" s="18">
        <v>3876.557182</v>
      </c>
      <c r="AJ13" s="18">
        <v>17.495487000000001</v>
      </c>
      <c r="AL13" s="19"/>
      <c r="AM13" s="19"/>
      <c r="AN13" s="19"/>
      <c r="AO13" s="19"/>
      <c r="AP13" s="19"/>
      <c r="AQ13" s="19"/>
      <c r="AR13" s="19"/>
    </row>
    <row r="14" spans="1:44" ht="15.75" customHeight="1" outlineLevel="1" thickBot="1" x14ac:dyDescent="0.4">
      <c r="A14" s="20"/>
      <c r="B14" s="20" t="s">
        <v>48</v>
      </c>
      <c r="C14" s="22" t="s">
        <v>374</v>
      </c>
      <c r="D14" s="20">
        <v>9000000</v>
      </c>
      <c r="E14" s="21">
        <v>10</v>
      </c>
      <c r="F14" s="22">
        <v>32</v>
      </c>
      <c r="G14" s="22">
        <v>30</v>
      </c>
      <c r="H14" s="22">
        <v>21</v>
      </c>
      <c r="J14" s="23">
        <f t="shared" si="0"/>
        <v>14.60055</v>
      </c>
      <c r="K14" s="24">
        <f t="shared" si="1"/>
        <v>1.7304355555555555</v>
      </c>
      <c r="L14" s="53">
        <v>4841856</v>
      </c>
      <c r="M14" s="25">
        <v>15573920</v>
      </c>
      <c r="N14" s="54">
        <v>72.073928100000003</v>
      </c>
      <c r="O14" s="54">
        <v>73.696620499999995</v>
      </c>
      <c r="P14" s="54">
        <v>38.9396828</v>
      </c>
      <c r="Q14" s="54">
        <v>48.420580399999999</v>
      </c>
      <c r="R14" s="54">
        <v>49.0984008</v>
      </c>
      <c r="S14" s="54">
        <v>48.399188299999999</v>
      </c>
      <c r="T14" s="54">
        <v>35.107377200000002</v>
      </c>
      <c r="U14" s="26">
        <v>4802.0637710000001</v>
      </c>
      <c r="V14" s="26">
        <v>18.281438999999999</v>
      </c>
      <c r="X14" s="23">
        <f t="shared" si="2"/>
        <v>13.995329999999999</v>
      </c>
      <c r="Y14" s="24">
        <f t="shared" si="3"/>
        <v>1.6587057777777778</v>
      </c>
      <c r="Z14" s="53">
        <v>4844864</v>
      </c>
      <c r="AA14" s="25">
        <v>14928352</v>
      </c>
      <c r="AB14" s="54">
        <v>72.236007400000005</v>
      </c>
      <c r="AC14" s="54">
        <v>73.910298800000007</v>
      </c>
      <c r="AD14" s="54">
        <v>37.9282757</v>
      </c>
      <c r="AE14" s="54">
        <v>47.868059500000001</v>
      </c>
      <c r="AF14" s="54">
        <v>48.506467899999997</v>
      </c>
      <c r="AG14" s="54">
        <v>48.5540053</v>
      </c>
      <c r="AH14" s="54">
        <v>34.720430800000003</v>
      </c>
      <c r="AI14" s="26">
        <v>4004.2352970000002</v>
      </c>
      <c r="AJ14" s="26">
        <v>17.778494999999999</v>
      </c>
      <c r="AL14" s="27"/>
      <c r="AM14" s="27"/>
      <c r="AN14" s="27"/>
      <c r="AO14" s="27"/>
      <c r="AP14" s="27"/>
      <c r="AQ14" s="27"/>
      <c r="AR14" s="27"/>
    </row>
    <row r="15" spans="1:44" x14ac:dyDescent="0.35">
      <c r="A15" s="12" t="s">
        <v>174</v>
      </c>
      <c r="B15" s="12" t="s">
        <v>53</v>
      </c>
      <c r="C15" s="14" t="s">
        <v>370</v>
      </c>
      <c r="D15" s="12">
        <v>11842002</v>
      </c>
      <c r="E15" s="13">
        <v>12</v>
      </c>
      <c r="F15" s="14">
        <v>32</v>
      </c>
      <c r="G15" s="14">
        <v>30</v>
      </c>
      <c r="H15" s="14">
        <v>3</v>
      </c>
      <c r="J15" s="15">
        <f t="shared" si="0"/>
        <v>3.9792074999999998</v>
      </c>
      <c r="K15" s="16">
        <f t="shared" si="1"/>
        <v>0.35842655659068456</v>
      </c>
      <c r="L15" s="39">
        <v>2419456</v>
      </c>
      <c r="M15" s="17">
        <v>4244488</v>
      </c>
      <c r="N15" s="40">
        <v>71.577144700000005</v>
      </c>
      <c r="O15" s="40">
        <v>72.834174599999997</v>
      </c>
      <c r="P15" s="40">
        <v>36.932392700000001</v>
      </c>
      <c r="Q15" s="40">
        <v>43.595014999999997</v>
      </c>
      <c r="R15" s="40">
        <v>45.356196300000001</v>
      </c>
      <c r="S15" s="40">
        <v>45.535561299999998</v>
      </c>
      <c r="T15" s="40">
        <v>32.868556300000002</v>
      </c>
      <c r="U15" s="18">
        <v>1950.6363100000001</v>
      </c>
      <c r="V15" s="18">
        <v>17.591000000000001</v>
      </c>
      <c r="X15" s="15">
        <f t="shared" si="2"/>
        <v>4.1148674999999999</v>
      </c>
      <c r="Y15" s="16">
        <f t="shared" si="3"/>
        <v>0.37064611203409692</v>
      </c>
      <c r="Z15" s="39">
        <v>2419456</v>
      </c>
      <c r="AA15" s="17">
        <v>4389192</v>
      </c>
      <c r="AB15" s="40">
        <v>71.577207999999999</v>
      </c>
      <c r="AC15" s="40">
        <v>72.834220000000002</v>
      </c>
      <c r="AD15" s="40">
        <v>36.567959100000003</v>
      </c>
      <c r="AE15" s="40">
        <v>43.453402699999998</v>
      </c>
      <c r="AF15" s="40">
        <v>45.0077219</v>
      </c>
      <c r="AG15" s="40">
        <v>45.535538699999996</v>
      </c>
      <c r="AH15" s="40">
        <v>32.707536599999997</v>
      </c>
      <c r="AI15" s="18">
        <v>1668.4343469999999</v>
      </c>
      <c r="AJ15" s="18">
        <v>18.609164</v>
      </c>
      <c r="AL15" s="19">
        <f t="array" ref="AL15">IF( OR(AND(ISBLANK(M15:M19)),AND(ISBLANK(AA15:AA19)), AND(ISBLANK(N15:N19)),AND(ISBLANK(AB15:AB19))), "·", bdRateExtend( M15:M19,N15:N19, AA15:AA19,AB15:AB19))</f>
        <v>-2.1784039405538969E-2</v>
      </c>
      <c r="AM15" s="19">
        <f t="array" ref="AM15">IF( OR(AND(ISBLANK(M15:M19)),AND(ISBLANK(AA15:AA19)), AND(ISBLANK(O15:O19)),AND(ISBLANK(AC15:AC19))), "·", bdRateExtend( M15:M19,O15:O19, AA15:AA19,AC15:AC19))</f>
        <v>-2.1817466903969351E-2</v>
      </c>
      <c r="AN15" s="19">
        <f t="array" ref="AN15">IF( OR(AND(ISBLANK(M15:M19)),AND(ISBLANK(AA15:AA19)), AND(ISBLANK(P15:P19)),AND(ISBLANK(AD15:AD19))), "·", bdRateExtend( M15:M19,P15:P19, AA15:AA19,AD15:AD19))</f>
        <v>0.25383455779640496</v>
      </c>
      <c r="AO15" s="19">
        <f t="array" ref="AO15">IF( OR(AND(ISBLANK(M15:M19)),AND(ISBLANK(AA15:AA19)), AND(ISBLANK(Q15:Q19)),AND(ISBLANK(AE15:AE19))), "·", bdRateExtend( M15:M19,Q15:Q19, AA15:AA19,AE15:AE19))</f>
        <v>4.4024634411887753E-2</v>
      </c>
      <c r="AP15" s="19">
        <f t="array" ref="AP15">IF( OR(AND(ISBLANK(M15:M19)),AND(ISBLANK(AA15:AA19)), AND(ISBLANK(R15:R19)),AND(ISBLANK(AF15:AF19))), "·", bdRateExtend( M15:M19,R15:R19, AA15:AA19,AF15:AF19))</f>
        <v>0.12925246939088919</v>
      </c>
      <c r="AQ15" s="19">
        <f t="array" ref="AQ15">IF( OR(AND(ISBLANK(M15:M19)),AND(ISBLANK(AA15:AA19)), AND(ISBLANK(S15:S19)),AND(ISBLANK(AG15:AG19))), "·", bdRateExtend( M15:M19,S15:S19, AA15:AA19,AG15:AG19))</f>
        <v>-2.1877983181344152E-2</v>
      </c>
      <c r="AR15" s="19">
        <f t="array" ref="AR15">IF( OR(AND(ISBLANK(M15:M19)),AND(ISBLANK(AA15:AA19)), AND(ISBLANK(T15:T19)),AND(ISBLANK(AH15:AH19))), "·", bdRateExtend( M15:M19,T15:T19, AA15:AA19,AH15:AH19))</f>
        <v>5.0887556393773181E-2</v>
      </c>
    </row>
    <row r="16" spans="1:44" outlineLevel="1" x14ac:dyDescent="0.35">
      <c r="A16" s="28"/>
      <c r="B16" s="28" t="s">
        <v>53</v>
      </c>
      <c r="C16" s="30" t="s">
        <v>371</v>
      </c>
      <c r="D16" s="28">
        <v>11842002</v>
      </c>
      <c r="E16" s="29">
        <v>12</v>
      </c>
      <c r="F16" s="30">
        <v>32</v>
      </c>
      <c r="G16" s="30">
        <v>30</v>
      </c>
      <c r="H16" s="30">
        <v>5</v>
      </c>
      <c r="J16" s="31">
        <f t="shared" si="0"/>
        <v>6.8444099999999999</v>
      </c>
      <c r="K16" s="32">
        <f t="shared" si="1"/>
        <v>0.61650926929416161</v>
      </c>
      <c r="L16" s="41">
        <v>4841472</v>
      </c>
      <c r="M16" s="33">
        <v>7300704</v>
      </c>
      <c r="N16" s="42">
        <v>75.305827199999996</v>
      </c>
      <c r="O16" s="42">
        <v>77.002595600000006</v>
      </c>
      <c r="P16" s="42">
        <v>39.448719099999998</v>
      </c>
      <c r="Q16" s="42">
        <v>44.300480999999998</v>
      </c>
      <c r="R16" s="42">
        <v>46.7546252</v>
      </c>
      <c r="S16" s="42">
        <v>47.5536326</v>
      </c>
      <c r="T16" s="42">
        <v>35.488819599999999</v>
      </c>
      <c r="U16" s="34">
        <v>2172.269331</v>
      </c>
      <c r="V16" s="34">
        <v>17.519126</v>
      </c>
      <c r="X16" s="31">
        <f t="shared" si="2"/>
        <v>6.9893700000000001</v>
      </c>
      <c r="Y16" s="32">
        <f t="shared" si="3"/>
        <v>0.6295665209311736</v>
      </c>
      <c r="Z16" s="41">
        <v>4841472</v>
      </c>
      <c r="AA16" s="33">
        <v>7455328</v>
      </c>
      <c r="AB16" s="42">
        <v>75.3058628</v>
      </c>
      <c r="AC16" s="42">
        <v>77.002632300000002</v>
      </c>
      <c r="AD16" s="42">
        <v>38.918991800000001</v>
      </c>
      <c r="AE16" s="42">
        <v>44.159892999999997</v>
      </c>
      <c r="AF16" s="42">
        <v>46.351808900000002</v>
      </c>
      <c r="AG16" s="42">
        <v>47.553638399999997</v>
      </c>
      <c r="AH16" s="42">
        <v>35.2693206</v>
      </c>
      <c r="AI16" s="34">
        <v>1746.3156750000001</v>
      </c>
      <c r="AJ16" s="34">
        <v>20.411048000000001</v>
      </c>
      <c r="AL16" s="35"/>
      <c r="AM16" s="35"/>
      <c r="AN16" s="35"/>
      <c r="AO16" s="35"/>
      <c r="AP16" s="35"/>
      <c r="AQ16" s="35"/>
      <c r="AR16" s="35"/>
    </row>
    <row r="17" spans="1:44" outlineLevel="1" x14ac:dyDescent="0.35">
      <c r="A17" s="12"/>
      <c r="B17" s="12" t="s">
        <v>53</v>
      </c>
      <c r="C17" s="14" t="s">
        <v>372</v>
      </c>
      <c r="D17" s="12">
        <v>11842002</v>
      </c>
      <c r="E17" s="13">
        <v>12</v>
      </c>
      <c r="F17" s="14">
        <v>32</v>
      </c>
      <c r="G17" s="14">
        <v>30</v>
      </c>
      <c r="H17" s="14">
        <v>10</v>
      </c>
      <c r="J17" s="15">
        <f t="shared" si="0"/>
        <v>10.87749</v>
      </c>
      <c r="K17" s="16">
        <f t="shared" si="1"/>
        <v>0.97978838375470634</v>
      </c>
      <c r="L17" s="39">
        <v>4841472</v>
      </c>
      <c r="M17" s="17">
        <v>11602656</v>
      </c>
      <c r="N17" s="40">
        <v>76.645069199999995</v>
      </c>
      <c r="O17" s="40">
        <v>78.549478300000004</v>
      </c>
      <c r="P17" s="40">
        <v>41.222541900000003</v>
      </c>
      <c r="Q17" s="40">
        <v>45.180468400000002</v>
      </c>
      <c r="R17" s="40">
        <v>48.413318099999998</v>
      </c>
      <c r="S17" s="40">
        <v>48.182346699999997</v>
      </c>
      <c r="T17" s="40">
        <v>36.641098100000001</v>
      </c>
      <c r="U17" s="18">
        <v>2197.488018</v>
      </c>
      <c r="V17" s="18">
        <v>18.230257999999999</v>
      </c>
      <c r="X17" s="15">
        <f t="shared" si="2"/>
        <v>11.121734999999999</v>
      </c>
      <c r="Y17" s="16">
        <f t="shared" si="3"/>
        <v>1.0017887178198417</v>
      </c>
      <c r="Z17" s="39">
        <v>4841472</v>
      </c>
      <c r="AA17" s="17">
        <v>11863184</v>
      </c>
      <c r="AB17" s="40">
        <v>76.645133599999994</v>
      </c>
      <c r="AC17" s="40">
        <v>78.549525500000001</v>
      </c>
      <c r="AD17" s="40">
        <v>40.562631000000003</v>
      </c>
      <c r="AE17" s="40">
        <v>45.063621099999999</v>
      </c>
      <c r="AF17" s="40">
        <v>48.028256599999999</v>
      </c>
      <c r="AG17" s="40">
        <v>48.1823592</v>
      </c>
      <c r="AH17" s="40">
        <v>36.401839500000001</v>
      </c>
      <c r="AI17" s="18">
        <v>1451.6316019999999</v>
      </c>
      <c r="AJ17" s="18">
        <v>18.127362000000002</v>
      </c>
      <c r="AL17" s="19"/>
      <c r="AM17" s="19"/>
      <c r="AN17" s="19"/>
      <c r="AO17" s="19"/>
      <c r="AP17" s="19"/>
      <c r="AQ17" s="19"/>
      <c r="AR17" s="19"/>
    </row>
    <row r="18" spans="1:44" outlineLevel="1" x14ac:dyDescent="0.35">
      <c r="A18" s="28"/>
      <c r="B18" s="28" t="s">
        <v>53</v>
      </c>
      <c r="C18" s="30" t="s">
        <v>373</v>
      </c>
      <c r="D18" s="28">
        <v>11842002</v>
      </c>
      <c r="E18" s="29">
        <v>12</v>
      </c>
      <c r="F18" s="30">
        <v>32</v>
      </c>
      <c r="G18" s="30">
        <v>30</v>
      </c>
      <c r="H18" s="30">
        <v>14</v>
      </c>
      <c r="J18" s="31">
        <f t="shared" si="0"/>
        <v>16.100415000000002</v>
      </c>
      <c r="K18" s="32">
        <f t="shared" si="1"/>
        <v>1.450242619448975</v>
      </c>
      <c r="L18" s="41">
        <v>605377</v>
      </c>
      <c r="M18" s="33">
        <v>17173776</v>
      </c>
      <c r="N18" s="42">
        <v>83.638361700000004</v>
      </c>
      <c r="O18" s="42">
        <v>87.131125900000001</v>
      </c>
      <c r="P18" s="42">
        <v>41.595456900000002</v>
      </c>
      <c r="Q18" s="42">
        <v>45.231833299999998</v>
      </c>
      <c r="R18" s="42">
        <v>48.495775799999997</v>
      </c>
      <c r="S18" s="42">
        <v>54.069744</v>
      </c>
      <c r="T18" s="42">
        <v>39.906863299999998</v>
      </c>
      <c r="U18" s="34">
        <v>3955.0013279999998</v>
      </c>
      <c r="V18" s="34">
        <v>21.526017</v>
      </c>
      <c r="X18" s="31">
        <f t="shared" si="2"/>
        <v>15.5554725</v>
      </c>
      <c r="Y18" s="32">
        <f t="shared" si="3"/>
        <v>1.401157000311265</v>
      </c>
      <c r="Z18" s="41">
        <v>605377</v>
      </c>
      <c r="AA18" s="33">
        <v>16592504</v>
      </c>
      <c r="AB18" s="42">
        <v>83.638361700000004</v>
      </c>
      <c r="AC18" s="42">
        <v>87.131125900000001</v>
      </c>
      <c r="AD18" s="42">
        <v>40.888424700000002</v>
      </c>
      <c r="AE18" s="42">
        <v>45.1321388</v>
      </c>
      <c r="AF18" s="42">
        <v>48.157491700000001</v>
      </c>
      <c r="AG18" s="42">
        <v>54.069744</v>
      </c>
      <c r="AH18" s="42">
        <v>39.435728400000002</v>
      </c>
      <c r="AI18" s="34">
        <v>1299.5357329999999</v>
      </c>
      <c r="AJ18" s="34">
        <v>28.667507000000001</v>
      </c>
      <c r="AL18" s="35"/>
      <c r="AM18" s="35"/>
      <c r="AN18" s="35"/>
      <c r="AO18" s="35"/>
      <c r="AP18" s="35"/>
      <c r="AQ18" s="35"/>
      <c r="AR18" s="35"/>
    </row>
    <row r="19" spans="1:44" ht="15.75" customHeight="1" outlineLevel="1" thickBot="1" x14ac:dyDescent="0.4">
      <c r="A19" s="12"/>
      <c r="B19" s="43" t="s">
        <v>53</v>
      </c>
      <c r="C19" s="44" t="s">
        <v>374</v>
      </c>
      <c r="D19" s="43">
        <v>11842002</v>
      </c>
      <c r="E19" s="45">
        <v>12</v>
      </c>
      <c r="F19" s="44">
        <v>32</v>
      </c>
      <c r="G19" s="44">
        <v>30</v>
      </c>
      <c r="H19" s="44">
        <v>21</v>
      </c>
      <c r="J19" s="46">
        <f t="shared" si="0"/>
        <v>22.504087500000001</v>
      </c>
      <c r="K19" s="47">
        <f t="shared" si="1"/>
        <v>2.0270525203424219</v>
      </c>
      <c r="L19" s="48">
        <v>1261248</v>
      </c>
      <c r="M19" s="49">
        <v>24004360</v>
      </c>
      <c r="N19" s="50">
        <v>999.99</v>
      </c>
      <c r="O19" s="50">
        <v>999.99</v>
      </c>
      <c r="P19" s="50">
        <v>41.545656999999999</v>
      </c>
      <c r="Q19" s="50">
        <v>45.126942900000003</v>
      </c>
      <c r="R19" s="50">
        <v>48.327106200000003</v>
      </c>
      <c r="S19" s="50">
        <v>999.99</v>
      </c>
      <c r="T19" s="50">
        <v>41.688693000000001</v>
      </c>
      <c r="U19" s="51">
        <v>1988.0221389999999</v>
      </c>
      <c r="V19" s="51">
        <v>19.203052</v>
      </c>
      <c r="X19" s="46">
        <f t="shared" si="2"/>
        <v>22.105102500000001</v>
      </c>
      <c r="Y19" s="47">
        <f t="shared" si="3"/>
        <v>1.9911140025141019</v>
      </c>
      <c r="Z19" s="48">
        <v>1261248</v>
      </c>
      <c r="AA19" s="49">
        <v>23578776</v>
      </c>
      <c r="AB19" s="50">
        <v>999.99</v>
      </c>
      <c r="AC19" s="50">
        <v>999.99</v>
      </c>
      <c r="AD19" s="50">
        <v>41.543055899999999</v>
      </c>
      <c r="AE19" s="50">
        <v>45.121403899999997</v>
      </c>
      <c r="AF19" s="50">
        <v>48.330068799999999</v>
      </c>
      <c r="AG19" s="50">
        <v>999.99</v>
      </c>
      <c r="AH19" s="50">
        <v>41.686645599999999</v>
      </c>
      <c r="AI19" s="51">
        <v>1166.551017</v>
      </c>
      <c r="AJ19" s="51">
        <v>18.116655999999999</v>
      </c>
      <c r="AL19" s="52"/>
      <c r="AM19" s="52"/>
      <c r="AN19" s="52"/>
      <c r="AO19" s="52"/>
      <c r="AP19" s="52"/>
      <c r="AQ19" s="52"/>
      <c r="AR19" s="52"/>
    </row>
    <row r="20" spans="1:44" x14ac:dyDescent="0.35">
      <c r="A20" s="28"/>
      <c r="B20" s="28" t="s">
        <v>58</v>
      </c>
      <c r="C20" s="30" t="s">
        <v>370</v>
      </c>
      <c r="D20" s="28">
        <v>11812090</v>
      </c>
      <c r="E20" s="29">
        <v>12</v>
      </c>
      <c r="F20" s="30">
        <v>32</v>
      </c>
      <c r="G20" s="30">
        <v>30</v>
      </c>
      <c r="H20" s="30">
        <v>3</v>
      </c>
      <c r="J20" s="31">
        <f t="shared" si="0"/>
        <v>2.9952899999999998</v>
      </c>
      <c r="K20" s="32">
        <f t="shared" si="1"/>
        <v>0.27048354694215843</v>
      </c>
      <c r="L20" s="41">
        <v>2417984</v>
      </c>
      <c r="M20" s="33">
        <v>3194976</v>
      </c>
      <c r="N20" s="42">
        <v>70.218157300000001</v>
      </c>
      <c r="O20" s="42">
        <v>71.385570299999998</v>
      </c>
      <c r="P20" s="42">
        <v>33.979962999999998</v>
      </c>
      <c r="Q20" s="42">
        <v>43.326638299999999</v>
      </c>
      <c r="R20" s="42">
        <v>44.666333700000003</v>
      </c>
      <c r="S20" s="42">
        <v>47.760446299999998</v>
      </c>
      <c r="T20" s="42">
        <v>30.752741499999999</v>
      </c>
      <c r="U20" s="34">
        <v>1831.9612360000001</v>
      </c>
      <c r="V20" s="34">
        <v>17.507027999999998</v>
      </c>
      <c r="X20" s="31">
        <f t="shared" si="2"/>
        <v>3.0126525000000002</v>
      </c>
      <c r="Y20" s="32">
        <f t="shared" si="3"/>
        <v>0.272051432049705</v>
      </c>
      <c r="Z20" s="41">
        <v>2417984</v>
      </c>
      <c r="AA20" s="33">
        <v>3213496</v>
      </c>
      <c r="AB20" s="42">
        <v>70.218210400000004</v>
      </c>
      <c r="AC20" s="42">
        <v>71.385635500000006</v>
      </c>
      <c r="AD20" s="42">
        <v>33.448107</v>
      </c>
      <c r="AE20" s="42">
        <v>43.246127899999998</v>
      </c>
      <c r="AF20" s="42">
        <v>44.414697400000001</v>
      </c>
      <c r="AG20" s="42">
        <v>47.760971900000001</v>
      </c>
      <c r="AH20" s="42">
        <v>30.5304477</v>
      </c>
      <c r="AI20" s="34">
        <v>1504.429815</v>
      </c>
      <c r="AJ20" s="34">
        <v>20.163497</v>
      </c>
      <c r="AL20" s="35">
        <f t="array" ref="AL20">IF( OR(AND(ISBLANK(M20:M24)),AND(ISBLANK(AA20:AA24)), AND(ISBLANK(N20:N24)),AND(ISBLANK(AB20:AB24))), "·", bdRateExtend( M20:M24,N20:N24, AA20:AA24,AB20:AB24))</f>
        <v>-2.286208234476117E-3</v>
      </c>
      <c r="AM20" s="35">
        <f t="array" ref="AM20">IF( OR(AND(ISBLANK(M20:M24)),AND(ISBLANK(AA20:AA24)), AND(ISBLANK(O20:O24)),AND(ISBLANK(AC20:AC24))), "·", bdRateExtend( M20:M24,O20:O24, AA20:AA24,AC20:AC24))</f>
        <v>-2.2209468942400168E-3</v>
      </c>
      <c r="AN20" s="35">
        <f t="array" ref="AN20">IF( OR(AND(ISBLANK(M20:M24)),AND(ISBLANK(AA20:AA24)), AND(ISBLANK(P20:P24)),AND(ISBLANK(AD20:AD24))), "·", bdRateExtend( M20:M24,P20:P24, AA20:AA24,AD20:AD24))</f>
        <v>0.2323396358908747</v>
      </c>
      <c r="AO20" s="35">
        <f t="array" ref="AO20">IF( OR(AND(ISBLANK(M20:M24)),AND(ISBLANK(AA20:AA24)), AND(ISBLANK(Q20:Q24)),AND(ISBLANK(AE20:AE24))), "·", bdRateExtend( M20:M24,Q20:Q24, AA20:AA24,AE20:AE24))</f>
        <v>0.12796031364262128</v>
      </c>
      <c r="AP20" s="35">
        <f t="array" ref="AP20">IF( OR(AND(ISBLANK(M20:M24)),AND(ISBLANK(AA20:AA24)), AND(ISBLANK(R20:R24)),AND(ISBLANK(AF20:AF24))), "·", bdRateExtend( M20:M24,R20:R24, AA20:AA24,AF20:AF24))</f>
        <v>0.15649475166279747</v>
      </c>
      <c r="AQ20" s="35">
        <f t="array" ref="AQ20">IF( OR(AND(ISBLANK(M20:M24)),AND(ISBLANK(AA20:AA24)), AND(ISBLANK(S20:S24)),AND(ISBLANK(AG20:AG24))), "·", bdRateExtend( M20:M24,S20:S24, AA20:AA24,AG20:AG24))</f>
        <v>-2.4801975419337374E-3</v>
      </c>
      <c r="AR20" s="35">
        <f t="array" ref="AR20">IF( OR(AND(ISBLANK(M20:M24)),AND(ISBLANK(AA20:AA24)), AND(ISBLANK(T20:T24)),AND(ISBLANK(AH20:AH24))), "·", bdRateExtend( M20:M24,T20:T24, AA20:AA24,AH20:AH24))</f>
        <v>6.8977108302209267E-2</v>
      </c>
    </row>
    <row r="21" spans="1:44" outlineLevel="1" x14ac:dyDescent="0.35">
      <c r="A21" s="12"/>
      <c r="B21" s="12" t="s">
        <v>58</v>
      </c>
      <c r="C21" s="14" t="s">
        <v>371</v>
      </c>
      <c r="D21" s="12">
        <v>11812090</v>
      </c>
      <c r="E21" s="13">
        <v>12</v>
      </c>
      <c r="F21" s="14">
        <v>32</v>
      </c>
      <c r="G21" s="14">
        <v>30</v>
      </c>
      <c r="H21" s="14">
        <v>5</v>
      </c>
      <c r="J21" s="15">
        <f t="shared" si="0"/>
        <v>4.483155</v>
      </c>
      <c r="K21" s="16">
        <f t="shared" si="1"/>
        <v>0.40484215748440794</v>
      </c>
      <c r="L21" s="39">
        <v>2417984</v>
      </c>
      <c r="M21" s="17">
        <v>4782032</v>
      </c>
      <c r="N21" s="40">
        <v>71.586763000000005</v>
      </c>
      <c r="O21" s="40">
        <v>72.899730599999998</v>
      </c>
      <c r="P21" s="40">
        <v>36.455519600000002</v>
      </c>
      <c r="Q21" s="40">
        <v>43.7766357</v>
      </c>
      <c r="R21" s="40">
        <v>45.554348500000003</v>
      </c>
      <c r="S21" s="40">
        <v>48.474926199999999</v>
      </c>
      <c r="T21" s="40">
        <v>32.1722313</v>
      </c>
      <c r="U21" s="18">
        <v>2201.0095019999999</v>
      </c>
      <c r="V21" s="18">
        <v>18.894838</v>
      </c>
      <c r="X21" s="15">
        <f t="shared" si="2"/>
        <v>4.6270724999999997</v>
      </c>
      <c r="Y21" s="16">
        <f t="shared" si="3"/>
        <v>0.41783833343633514</v>
      </c>
      <c r="Z21" s="39">
        <v>2417984</v>
      </c>
      <c r="AA21" s="17">
        <v>4935544</v>
      </c>
      <c r="AB21" s="40">
        <v>71.586738600000004</v>
      </c>
      <c r="AC21" s="40">
        <v>72.899703099999996</v>
      </c>
      <c r="AD21" s="40">
        <v>35.811161900000002</v>
      </c>
      <c r="AE21" s="40">
        <v>43.677251800000001</v>
      </c>
      <c r="AF21" s="40">
        <v>45.231366999999999</v>
      </c>
      <c r="AG21" s="40">
        <v>48.474339299999997</v>
      </c>
      <c r="AH21" s="40">
        <v>31.953103500000001</v>
      </c>
      <c r="AI21" s="18">
        <v>1435.2325760000001</v>
      </c>
      <c r="AJ21" s="18">
        <v>17.937873</v>
      </c>
      <c r="AL21" s="19"/>
      <c r="AM21" s="19"/>
      <c r="AN21" s="19"/>
      <c r="AO21" s="19"/>
      <c r="AP21" s="19"/>
      <c r="AQ21" s="19"/>
      <c r="AR21" s="19"/>
    </row>
    <row r="22" spans="1:44" outlineLevel="1" x14ac:dyDescent="0.35">
      <c r="A22" s="28"/>
      <c r="B22" s="28" t="s">
        <v>58</v>
      </c>
      <c r="C22" s="30" t="s">
        <v>372</v>
      </c>
      <c r="D22" s="28">
        <v>11812090</v>
      </c>
      <c r="E22" s="29">
        <v>12</v>
      </c>
      <c r="F22" s="30">
        <v>32</v>
      </c>
      <c r="G22" s="30">
        <v>30</v>
      </c>
      <c r="H22" s="30">
        <v>10</v>
      </c>
      <c r="J22" s="31">
        <f t="shared" si="0"/>
        <v>7.5828674999999999</v>
      </c>
      <c r="K22" s="32">
        <f t="shared" si="1"/>
        <v>0.68475536505394052</v>
      </c>
      <c r="L22" s="41">
        <v>4836096</v>
      </c>
      <c r="M22" s="33">
        <v>8088392</v>
      </c>
      <c r="N22" s="42">
        <v>75.188922700000006</v>
      </c>
      <c r="O22" s="42">
        <v>76.987745899999993</v>
      </c>
      <c r="P22" s="42">
        <v>39.095718099999999</v>
      </c>
      <c r="Q22" s="42">
        <v>44.546574100000001</v>
      </c>
      <c r="R22" s="42">
        <v>46.844578800000001</v>
      </c>
      <c r="S22" s="42">
        <v>50.455557200000001</v>
      </c>
      <c r="T22" s="42">
        <v>34.886436699999997</v>
      </c>
      <c r="U22" s="34">
        <v>2363.7823509999998</v>
      </c>
      <c r="V22" s="34">
        <v>19.354742999999999</v>
      </c>
      <c r="X22" s="31">
        <f t="shared" si="2"/>
        <v>7.8994499999999999</v>
      </c>
      <c r="Y22" s="32">
        <f t="shared" si="3"/>
        <v>0.71334370124169388</v>
      </c>
      <c r="Z22" s="41">
        <v>4836096</v>
      </c>
      <c r="AA22" s="33">
        <v>8426080</v>
      </c>
      <c r="AB22" s="42">
        <v>75.188913700000001</v>
      </c>
      <c r="AC22" s="42">
        <v>76.987760499999993</v>
      </c>
      <c r="AD22" s="42">
        <v>38.328710700000002</v>
      </c>
      <c r="AE22" s="42">
        <v>44.3934754</v>
      </c>
      <c r="AF22" s="42">
        <v>46.478473899999997</v>
      </c>
      <c r="AG22" s="42">
        <v>50.455571800000001</v>
      </c>
      <c r="AH22" s="42">
        <v>34.597272099999998</v>
      </c>
      <c r="AI22" s="34">
        <v>1524.12363</v>
      </c>
      <c r="AJ22" s="34">
        <v>18.953022000000001</v>
      </c>
      <c r="AL22" s="35"/>
      <c r="AM22" s="35"/>
      <c r="AN22" s="35"/>
      <c r="AO22" s="35"/>
      <c r="AP22" s="35"/>
      <c r="AQ22" s="35"/>
      <c r="AR22" s="35"/>
    </row>
    <row r="23" spans="1:44" outlineLevel="1" x14ac:dyDescent="0.35">
      <c r="A23" s="12"/>
      <c r="B23" s="12" t="s">
        <v>58</v>
      </c>
      <c r="C23" s="14" t="s">
        <v>373</v>
      </c>
      <c r="D23" s="12">
        <v>11812090</v>
      </c>
      <c r="E23" s="13">
        <v>12</v>
      </c>
      <c r="F23" s="14">
        <v>32</v>
      </c>
      <c r="G23" s="14">
        <v>30</v>
      </c>
      <c r="H23" s="14">
        <v>14</v>
      </c>
      <c r="J23" s="15">
        <f t="shared" si="0"/>
        <v>11.9474325</v>
      </c>
      <c r="K23" s="16">
        <f t="shared" si="1"/>
        <v>1.0788884947541035</v>
      </c>
      <c r="L23" s="39">
        <v>4836096</v>
      </c>
      <c r="M23" s="17">
        <v>12743928</v>
      </c>
      <c r="N23" s="40">
        <v>76.476066599999996</v>
      </c>
      <c r="O23" s="40">
        <v>78.511051100000003</v>
      </c>
      <c r="P23" s="40">
        <v>40.927903399999998</v>
      </c>
      <c r="Q23" s="40">
        <v>45.538857</v>
      </c>
      <c r="R23" s="40">
        <v>48.364703200000001</v>
      </c>
      <c r="S23" s="40">
        <v>51.137091599999998</v>
      </c>
      <c r="T23" s="40">
        <v>36.048903299999999</v>
      </c>
      <c r="U23" s="18">
        <v>2289.4017979999999</v>
      </c>
      <c r="V23" s="18">
        <v>18.626358</v>
      </c>
      <c r="X23" s="15">
        <f t="shared" si="2"/>
        <v>12.518174999999999</v>
      </c>
      <c r="Y23" s="16">
        <f t="shared" si="3"/>
        <v>1.1304282307364741</v>
      </c>
      <c r="Z23" s="39">
        <v>4836096</v>
      </c>
      <c r="AA23" s="17">
        <v>13352720</v>
      </c>
      <c r="AB23" s="40">
        <v>76.476040400000002</v>
      </c>
      <c r="AC23" s="40">
        <v>78.511023399999999</v>
      </c>
      <c r="AD23" s="40">
        <v>40.037505299999999</v>
      </c>
      <c r="AE23" s="40">
        <v>45.3736228</v>
      </c>
      <c r="AF23" s="40">
        <v>48.066254100000002</v>
      </c>
      <c r="AG23" s="40">
        <v>51.137224400000001</v>
      </c>
      <c r="AH23" s="40">
        <v>35.749487299999998</v>
      </c>
      <c r="AI23" s="18">
        <v>1448.9536129999999</v>
      </c>
      <c r="AJ23" s="18">
        <v>19.01247</v>
      </c>
      <c r="AL23" s="19"/>
      <c r="AM23" s="19"/>
      <c r="AN23" s="19"/>
      <c r="AO23" s="19"/>
      <c r="AP23" s="19"/>
      <c r="AQ23" s="19"/>
      <c r="AR23" s="19"/>
    </row>
    <row r="24" spans="1:44" ht="15.75" customHeight="1" outlineLevel="1" thickBot="1" x14ac:dyDescent="0.4">
      <c r="A24" s="20"/>
      <c r="B24" s="20" t="s">
        <v>58</v>
      </c>
      <c r="C24" s="22" t="s">
        <v>374</v>
      </c>
      <c r="D24" s="20">
        <v>11812090</v>
      </c>
      <c r="E24" s="21">
        <v>12</v>
      </c>
      <c r="F24" s="22">
        <v>32</v>
      </c>
      <c r="G24" s="22">
        <v>30</v>
      </c>
      <c r="H24" s="22">
        <v>21</v>
      </c>
      <c r="J24" s="23">
        <f t="shared" si="0"/>
        <v>23.219864999999999</v>
      </c>
      <c r="K24" s="24">
        <f t="shared" si="1"/>
        <v>2.0968224928865258</v>
      </c>
      <c r="L24" s="53">
        <v>1259636</v>
      </c>
      <c r="M24" s="25">
        <v>24767856</v>
      </c>
      <c r="N24" s="54">
        <v>999.99</v>
      </c>
      <c r="O24" s="54">
        <v>999.99</v>
      </c>
      <c r="P24" s="54">
        <v>41.318016999999998</v>
      </c>
      <c r="Q24" s="54">
        <v>45.380315299999999</v>
      </c>
      <c r="R24" s="54">
        <v>48.191897099999998</v>
      </c>
      <c r="S24" s="54">
        <v>999.99</v>
      </c>
      <c r="T24" s="54">
        <v>41.381419899999997</v>
      </c>
      <c r="U24" s="26">
        <v>1915.9748609999999</v>
      </c>
      <c r="V24" s="26">
        <v>19.216823999999999</v>
      </c>
      <c r="X24" s="23">
        <f t="shared" si="2"/>
        <v>22.779375000000002</v>
      </c>
      <c r="Y24" s="24">
        <f t="shared" si="3"/>
        <v>2.0570449429355855</v>
      </c>
      <c r="Z24" s="53">
        <v>1259636</v>
      </c>
      <c r="AA24" s="25">
        <v>24298000</v>
      </c>
      <c r="AB24" s="54">
        <v>999.99</v>
      </c>
      <c r="AC24" s="54">
        <v>999.99</v>
      </c>
      <c r="AD24" s="54">
        <v>41.320407000000003</v>
      </c>
      <c r="AE24" s="54">
        <v>45.381069699999998</v>
      </c>
      <c r="AF24" s="54">
        <v>48.199587299999997</v>
      </c>
      <c r="AG24" s="54">
        <v>999.99</v>
      </c>
      <c r="AH24" s="54">
        <v>41.383566999999999</v>
      </c>
      <c r="AI24" s="26">
        <v>1197.7311930000001</v>
      </c>
      <c r="AJ24" s="26">
        <v>17.087910999999998</v>
      </c>
      <c r="AL24" s="27"/>
      <c r="AM24" s="27"/>
      <c r="AN24" s="27"/>
      <c r="AO24" s="27"/>
      <c r="AP24" s="27"/>
      <c r="AQ24" s="27"/>
      <c r="AR24" s="27"/>
    </row>
    <row r="25" spans="1:44" x14ac:dyDescent="0.35">
      <c r="A25" s="12" t="s">
        <v>175</v>
      </c>
      <c r="B25" s="12" t="s">
        <v>63</v>
      </c>
      <c r="C25" s="14" t="s">
        <v>370</v>
      </c>
      <c r="D25" s="12">
        <v>12000000</v>
      </c>
      <c r="E25" s="13">
        <v>12</v>
      </c>
      <c r="F25" s="14">
        <v>32</v>
      </c>
      <c r="G25" s="14">
        <v>30</v>
      </c>
      <c r="H25" s="14">
        <v>4</v>
      </c>
      <c r="J25" s="15">
        <f t="shared" si="0"/>
        <v>5.0651250000000001</v>
      </c>
      <c r="K25" s="16">
        <f t="shared" si="1"/>
        <v>0.45023333333333332</v>
      </c>
      <c r="L25" s="39">
        <v>4912768</v>
      </c>
      <c r="M25" s="17">
        <v>5402800</v>
      </c>
      <c r="N25" s="40">
        <v>73.324910700000004</v>
      </c>
      <c r="O25" s="40">
        <v>75.103150900000003</v>
      </c>
      <c r="P25" s="40">
        <v>31.5214997</v>
      </c>
      <c r="Q25" s="40">
        <v>40.384349700000001</v>
      </c>
      <c r="R25" s="40">
        <v>37.590428299999999</v>
      </c>
      <c r="S25" s="40">
        <v>45.0803783</v>
      </c>
      <c r="T25" s="40">
        <v>28.988192000000002</v>
      </c>
      <c r="U25" s="18">
        <v>6149.965083</v>
      </c>
      <c r="V25" s="18">
        <v>63.871136999999997</v>
      </c>
      <c r="X25" s="15">
        <f t="shared" si="2"/>
        <v>4.9227150000000002</v>
      </c>
      <c r="Y25" s="16">
        <f t="shared" si="3"/>
        <v>0.43757466666666667</v>
      </c>
      <c r="Z25" s="39">
        <v>4912768</v>
      </c>
      <c r="AA25" s="17">
        <v>5250896</v>
      </c>
      <c r="AB25" s="40">
        <v>73.324809599999995</v>
      </c>
      <c r="AC25" s="40">
        <v>75.103038799999993</v>
      </c>
      <c r="AD25" s="40">
        <v>31.1720063</v>
      </c>
      <c r="AE25" s="40">
        <v>40.098870300000002</v>
      </c>
      <c r="AF25" s="40">
        <v>37.235698499999998</v>
      </c>
      <c r="AG25" s="40">
        <v>45.079853</v>
      </c>
      <c r="AH25" s="40">
        <v>28.796505400000001</v>
      </c>
      <c r="AI25" s="18">
        <v>4790.0677679999999</v>
      </c>
      <c r="AJ25" s="18">
        <v>64.416619999999995</v>
      </c>
      <c r="AL25" s="19">
        <f t="array" ref="AL25">IF( OR(AND(ISBLANK(M25:M29)),AND(ISBLANK(AA25:AA29)), AND(ISBLANK(N25:N29)),AND(ISBLANK(AB25:AB29))), "·", bdRateExtend( M25:M29,N25:N29, AA25:AA29,AB25:AB29))</f>
        <v>-2.4194233340182669E-2</v>
      </c>
      <c r="AM25" s="19">
        <f t="array" ref="AM25">IF( OR(AND(ISBLANK(M25:M29)),AND(ISBLANK(AA25:AA29)), AND(ISBLANK(O25:O29)),AND(ISBLANK(AC25:AC29))), "·", bdRateExtend( M25:M29,O25:O29, AA25:AA29,AC25:AC29))</f>
        <v>-2.5237975022135206E-2</v>
      </c>
      <c r="AN25" s="19">
        <f t="array" ref="AN25">IF( OR(AND(ISBLANK(M25:M29)),AND(ISBLANK(AA25:AA29)), AND(ISBLANK(P25:P29)),AND(ISBLANK(AD25:AD29))), "·", bdRateExtend( M25:M29,P25:P29, AA25:AA29,AD25:AD29))</f>
        <v>7.1536507707470109E-2</v>
      </c>
      <c r="AO25" s="19">
        <f t="array" ref="AO25">IF( OR(AND(ISBLANK(M25:M29)),AND(ISBLANK(AA25:AA29)), AND(ISBLANK(Q25:Q29)),AND(ISBLANK(AE25:AE29))), "·", bdRateExtend( M25:M29,Q25:Q29, AA25:AA29,AE25:AE29))</f>
        <v>9.6887975587630182E-2</v>
      </c>
      <c r="AP25" s="19">
        <f t="array" ref="AP25">IF( OR(AND(ISBLANK(M25:M29)),AND(ISBLANK(AA25:AA29)), AND(ISBLANK(R25:R29)),AND(ISBLANK(AF25:AF29))), "·", bdRateExtend( M25:M29,R25:R29, AA25:AA29,AF25:AF29))</f>
        <v>9.213438837217991E-2</v>
      </c>
      <c r="AQ25" s="19">
        <f t="array" ref="AQ25">IF( OR(AND(ISBLANK(M25:M29)),AND(ISBLANK(AA25:AA29)), AND(ISBLANK(S25:S29)),AND(ISBLANK(AG25:AG29))), "·", bdRateExtend( M25:M29,S25:S29, AA25:AA29,AG25:AG29))</f>
        <v>-3.1550179277101909E-2</v>
      </c>
      <c r="AR25" s="19">
        <f t="array" ref="AR25">IF( OR(AND(ISBLANK(M25:M29)),AND(ISBLANK(AA25:AA29)), AND(ISBLANK(T25:T29)),AND(ISBLANK(AH25:AH29))), "·", bdRateExtend( M25:M29,T25:T29, AA25:AA29,AH25:AH29))</f>
        <v>1.9024343163064783E-2</v>
      </c>
    </row>
    <row r="26" spans="1:44" outlineLevel="1" x14ac:dyDescent="0.35">
      <c r="A26" s="28"/>
      <c r="B26" s="28" t="s">
        <v>63</v>
      </c>
      <c r="C26" s="30" t="s">
        <v>371</v>
      </c>
      <c r="D26" s="28">
        <v>12000000</v>
      </c>
      <c r="E26" s="29">
        <v>12</v>
      </c>
      <c r="F26" s="30">
        <v>32</v>
      </c>
      <c r="G26" s="30">
        <v>30</v>
      </c>
      <c r="H26" s="30">
        <v>8</v>
      </c>
      <c r="J26" s="31">
        <f t="shared" si="0"/>
        <v>7.1038199999999998</v>
      </c>
      <c r="K26" s="32">
        <f t="shared" si="1"/>
        <v>0.63145066666666672</v>
      </c>
      <c r="L26" s="41">
        <v>4912768</v>
      </c>
      <c r="M26" s="33">
        <v>7577408</v>
      </c>
      <c r="N26" s="42">
        <v>74.527038200000007</v>
      </c>
      <c r="O26" s="42">
        <v>76.488994899999994</v>
      </c>
      <c r="P26" s="42">
        <v>32.938456600000002</v>
      </c>
      <c r="Q26" s="42">
        <v>42.215449300000003</v>
      </c>
      <c r="R26" s="42">
        <v>39.658188699999997</v>
      </c>
      <c r="S26" s="42">
        <v>45.516765800000002</v>
      </c>
      <c r="T26" s="42">
        <v>30.091213</v>
      </c>
      <c r="U26" s="34">
        <v>5906.6161140000004</v>
      </c>
      <c r="V26" s="34">
        <v>65.749229</v>
      </c>
      <c r="X26" s="31">
        <f t="shared" si="2"/>
        <v>7.0739774999999998</v>
      </c>
      <c r="Y26" s="32">
        <f t="shared" si="3"/>
        <v>0.62879799999999997</v>
      </c>
      <c r="Z26" s="41">
        <v>4912768</v>
      </c>
      <c r="AA26" s="33">
        <v>7545576</v>
      </c>
      <c r="AB26" s="42">
        <v>74.526633700000005</v>
      </c>
      <c r="AC26" s="42">
        <v>76.488418899999999</v>
      </c>
      <c r="AD26" s="42">
        <v>32.632473099999999</v>
      </c>
      <c r="AE26" s="42">
        <v>41.935998599999998</v>
      </c>
      <c r="AF26" s="42">
        <v>39.325428199999998</v>
      </c>
      <c r="AG26" s="42">
        <v>45.516831099999997</v>
      </c>
      <c r="AH26" s="42">
        <v>29.930107400000001</v>
      </c>
      <c r="AI26" s="34">
        <v>4777.8358900000003</v>
      </c>
      <c r="AJ26" s="34">
        <v>66.663318000000004</v>
      </c>
      <c r="AL26" s="35"/>
      <c r="AM26" s="35"/>
      <c r="AN26" s="35"/>
      <c r="AO26" s="35"/>
      <c r="AP26" s="35"/>
      <c r="AQ26" s="35"/>
      <c r="AR26" s="35"/>
    </row>
    <row r="27" spans="1:44" outlineLevel="1" x14ac:dyDescent="0.35">
      <c r="A27" s="12"/>
      <c r="B27" s="12" t="s">
        <v>63</v>
      </c>
      <c r="C27" s="14" t="s">
        <v>372</v>
      </c>
      <c r="D27" s="12">
        <v>12000000</v>
      </c>
      <c r="E27" s="13">
        <v>12</v>
      </c>
      <c r="F27" s="14">
        <v>32</v>
      </c>
      <c r="G27" s="14">
        <v>30</v>
      </c>
      <c r="H27" s="14">
        <v>12</v>
      </c>
      <c r="J27" s="15">
        <f t="shared" si="0"/>
        <v>10.8157575</v>
      </c>
      <c r="K27" s="16">
        <f t="shared" si="1"/>
        <v>0.96140066666666668</v>
      </c>
      <c r="L27" s="39">
        <v>2456992</v>
      </c>
      <c r="M27" s="17">
        <v>11536808</v>
      </c>
      <c r="N27" s="40">
        <v>77.443510099999997</v>
      </c>
      <c r="O27" s="40">
        <v>79.943787400000005</v>
      </c>
      <c r="P27" s="40">
        <v>34.329776000000003</v>
      </c>
      <c r="Q27" s="40">
        <v>43.361544700000003</v>
      </c>
      <c r="R27" s="40">
        <v>41.143743299999997</v>
      </c>
      <c r="S27" s="40">
        <v>47.019991699999999</v>
      </c>
      <c r="T27" s="40">
        <v>31.834276500000001</v>
      </c>
      <c r="U27" s="18">
        <v>6007.3623010000001</v>
      </c>
      <c r="V27" s="18">
        <v>65.298350999999997</v>
      </c>
      <c r="X27" s="15">
        <f t="shared" si="2"/>
        <v>10.7547525</v>
      </c>
      <c r="Y27" s="16">
        <f t="shared" si="3"/>
        <v>0.95597799999999999</v>
      </c>
      <c r="Z27" s="39">
        <v>2456992</v>
      </c>
      <c r="AA27" s="17">
        <v>11471736</v>
      </c>
      <c r="AB27" s="40">
        <v>77.443477400000006</v>
      </c>
      <c r="AC27" s="40">
        <v>79.943705499999993</v>
      </c>
      <c r="AD27" s="40">
        <v>34.079837099999999</v>
      </c>
      <c r="AE27" s="40">
        <v>43.115704000000001</v>
      </c>
      <c r="AF27" s="40">
        <v>40.850436000000002</v>
      </c>
      <c r="AG27" s="40">
        <v>47.019821999999998</v>
      </c>
      <c r="AH27" s="40">
        <v>31.680271900000001</v>
      </c>
      <c r="AI27" s="18">
        <v>5887.7759230000001</v>
      </c>
      <c r="AJ27" s="18">
        <v>81.461139000000003</v>
      </c>
      <c r="AL27" s="19"/>
      <c r="AM27" s="19"/>
      <c r="AN27" s="19"/>
      <c r="AO27" s="19"/>
      <c r="AP27" s="19"/>
      <c r="AQ27" s="19"/>
      <c r="AR27" s="19"/>
    </row>
    <row r="28" spans="1:44" outlineLevel="1" x14ac:dyDescent="0.35">
      <c r="A28" s="28"/>
      <c r="B28" s="28" t="s">
        <v>63</v>
      </c>
      <c r="C28" s="30" t="s">
        <v>373</v>
      </c>
      <c r="D28" s="28">
        <v>12000000</v>
      </c>
      <c r="E28" s="29">
        <v>12</v>
      </c>
      <c r="F28" s="30">
        <v>32</v>
      </c>
      <c r="G28" s="30">
        <v>30</v>
      </c>
      <c r="H28" s="30">
        <v>17</v>
      </c>
      <c r="J28" s="31">
        <f t="shared" si="0"/>
        <v>12.406477499999999</v>
      </c>
      <c r="K28" s="32">
        <f t="shared" si="1"/>
        <v>1.1027979999999999</v>
      </c>
      <c r="L28" s="41">
        <v>4914848</v>
      </c>
      <c r="M28" s="33">
        <v>13233576</v>
      </c>
      <c r="N28" s="42">
        <v>79.527927599999998</v>
      </c>
      <c r="O28" s="42">
        <v>82.634541200000001</v>
      </c>
      <c r="P28" s="42">
        <v>34.5638091</v>
      </c>
      <c r="Q28" s="42">
        <v>43.376177200000001</v>
      </c>
      <c r="R28" s="42">
        <v>41.223072799999997</v>
      </c>
      <c r="S28" s="42">
        <v>48.555155300000003</v>
      </c>
      <c r="T28" s="42">
        <v>32.746724200000003</v>
      </c>
      <c r="U28" s="34">
        <v>6769.3734119999999</v>
      </c>
      <c r="V28" s="34">
        <v>64.635593999999998</v>
      </c>
      <c r="X28" s="31">
        <f t="shared" si="2"/>
        <v>12.087367499999999</v>
      </c>
      <c r="Y28" s="32">
        <f t="shared" si="3"/>
        <v>1.0744326666666666</v>
      </c>
      <c r="Z28" s="41">
        <v>4914848</v>
      </c>
      <c r="AA28" s="33">
        <v>12893192</v>
      </c>
      <c r="AB28" s="42">
        <v>79.528078699999995</v>
      </c>
      <c r="AC28" s="42">
        <v>82.634802399999998</v>
      </c>
      <c r="AD28" s="42">
        <v>34.316814899999997</v>
      </c>
      <c r="AE28" s="42">
        <v>43.141626899999999</v>
      </c>
      <c r="AF28" s="42">
        <v>40.928728200000002</v>
      </c>
      <c r="AG28" s="42">
        <v>48.556640100000003</v>
      </c>
      <c r="AH28" s="42">
        <v>32.564989599999997</v>
      </c>
      <c r="AI28" s="34">
        <v>4823.3324169999996</v>
      </c>
      <c r="AJ28" s="34">
        <v>68.849508999999998</v>
      </c>
      <c r="AL28" s="35"/>
      <c r="AM28" s="35"/>
      <c r="AN28" s="35"/>
      <c r="AO28" s="35"/>
      <c r="AP28" s="35"/>
      <c r="AQ28" s="35"/>
      <c r="AR28" s="35"/>
    </row>
    <row r="29" spans="1:44" ht="15.75" customHeight="1" outlineLevel="1" thickBot="1" x14ac:dyDescent="0.4">
      <c r="A29" s="12"/>
      <c r="B29" s="43" t="s">
        <v>63</v>
      </c>
      <c r="C29" s="44" t="s">
        <v>374</v>
      </c>
      <c r="D29" s="43">
        <v>12000000</v>
      </c>
      <c r="E29" s="45">
        <v>12</v>
      </c>
      <c r="F29" s="44">
        <v>32</v>
      </c>
      <c r="G29" s="44">
        <v>30</v>
      </c>
      <c r="H29" s="44">
        <v>25</v>
      </c>
      <c r="J29" s="46">
        <f t="shared" si="0"/>
        <v>22.403759999999998</v>
      </c>
      <c r="K29" s="47">
        <f t="shared" si="1"/>
        <v>1.9914453333333333</v>
      </c>
      <c r="L29" s="48">
        <v>921591</v>
      </c>
      <c r="M29" s="49">
        <v>23897344</v>
      </c>
      <c r="N29" s="50">
        <v>85.9955164</v>
      </c>
      <c r="O29" s="50">
        <v>91.337711799999994</v>
      </c>
      <c r="P29" s="50">
        <v>35.982384500000002</v>
      </c>
      <c r="Q29" s="50">
        <v>44.041339800000003</v>
      </c>
      <c r="R29" s="50">
        <v>42.169474399999999</v>
      </c>
      <c r="S29" s="50">
        <v>55.644798000000002</v>
      </c>
      <c r="T29" s="50">
        <v>35.466217999999998</v>
      </c>
      <c r="U29" s="51">
        <v>8519.7712210000009</v>
      </c>
      <c r="V29" s="51">
        <v>66.573076</v>
      </c>
      <c r="X29" s="46">
        <f t="shared" si="2"/>
        <v>21.51549</v>
      </c>
      <c r="Y29" s="47">
        <f t="shared" si="3"/>
        <v>1.912488</v>
      </c>
      <c r="Z29" s="48">
        <v>921591</v>
      </c>
      <c r="AA29" s="49">
        <v>22949856</v>
      </c>
      <c r="AB29" s="50">
        <v>85.9955164</v>
      </c>
      <c r="AC29" s="50">
        <v>91.337711799999994</v>
      </c>
      <c r="AD29" s="50">
        <v>35.782935199999997</v>
      </c>
      <c r="AE29" s="50">
        <v>43.817310900000003</v>
      </c>
      <c r="AF29" s="50">
        <v>41.909828099999999</v>
      </c>
      <c r="AG29" s="50">
        <v>55.644798000000002</v>
      </c>
      <c r="AH29" s="50">
        <v>35.266855900000003</v>
      </c>
      <c r="AI29" s="51">
        <v>4790.3741829999999</v>
      </c>
      <c r="AJ29" s="51">
        <v>88.811173999999994</v>
      </c>
      <c r="AL29" s="52"/>
      <c r="AM29" s="52"/>
      <c r="AN29" s="52"/>
      <c r="AO29" s="52"/>
      <c r="AP29" s="52"/>
      <c r="AQ29" s="52"/>
      <c r="AR29" s="52"/>
    </row>
    <row r="30" spans="1:44" x14ac:dyDescent="0.35">
      <c r="A30" s="28"/>
      <c r="B30" s="28" t="s">
        <v>68</v>
      </c>
      <c r="C30" s="30" t="s">
        <v>370</v>
      </c>
      <c r="D30" s="28">
        <v>5997654</v>
      </c>
      <c r="E30" s="29">
        <v>12</v>
      </c>
      <c r="F30" s="30">
        <v>32</v>
      </c>
      <c r="G30" s="30">
        <v>30</v>
      </c>
      <c r="H30" s="30">
        <v>4</v>
      </c>
      <c r="J30" s="31">
        <f t="shared" si="0"/>
        <v>3.0418875000000001</v>
      </c>
      <c r="K30" s="32">
        <f t="shared" si="1"/>
        <v>0.54099152768732572</v>
      </c>
      <c r="L30" s="41">
        <v>2425472</v>
      </c>
      <c r="M30" s="33">
        <v>3244680</v>
      </c>
      <c r="N30" s="42">
        <v>70.787130199999993</v>
      </c>
      <c r="O30" s="42">
        <v>72.125831399999996</v>
      </c>
      <c r="P30" s="42">
        <v>37.3612009</v>
      </c>
      <c r="Q30" s="42">
        <v>43.931303300000003</v>
      </c>
      <c r="R30" s="42">
        <v>42.366922199999998</v>
      </c>
      <c r="S30" s="42">
        <v>45.233574099999998</v>
      </c>
      <c r="T30" s="42">
        <v>33.348143899999997</v>
      </c>
      <c r="U30" s="34">
        <v>3717.6117330000002</v>
      </c>
      <c r="V30" s="34">
        <v>17.152529999999999</v>
      </c>
      <c r="X30" s="31">
        <f t="shared" si="2"/>
        <v>2.6584349999999999</v>
      </c>
      <c r="Y30" s="32">
        <f t="shared" si="3"/>
        <v>0.47279552971878669</v>
      </c>
      <c r="Z30" s="41">
        <v>2424832</v>
      </c>
      <c r="AA30" s="33">
        <v>2835664</v>
      </c>
      <c r="AB30" s="42">
        <v>70.708667300000002</v>
      </c>
      <c r="AC30" s="42">
        <v>72.033825699999994</v>
      </c>
      <c r="AD30" s="42">
        <v>36.794508999999998</v>
      </c>
      <c r="AE30" s="42">
        <v>43.656981899999998</v>
      </c>
      <c r="AF30" s="42">
        <v>41.975530999999997</v>
      </c>
      <c r="AG30" s="42">
        <v>45.179234899999997</v>
      </c>
      <c r="AH30" s="42">
        <v>33.111278599999999</v>
      </c>
      <c r="AI30" s="34">
        <v>2616.6437540000002</v>
      </c>
      <c r="AJ30" s="34">
        <v>16.011983000000001</v>
      </c>
      <c r="AL30" s="35">
        <f t="array" ref="AL30">IF( OR(AND(ISBLANK(M30:M34)),AND(ISBLANK(AA30:AA34)), AND(ISBLANK(N30:N34)),AND(ISBLANK(AB30:AB34))), "·", bdRateExtend( M30:M34,N30:N34, AA30:AA34,AB30:AB34))</f>
        <v>-0.10206367177982023</v>
      </c>
      <c r="AM30" s="35">
        <f t="array" ref="AM30">IF( OR(AND(ISBLANK(M30:M34)),AND(ISBLANK(AA30:AA34)), AND(ISBLANK(O30:O34)),AND(ISBLANK(AC30:AC34))), "·", bdRateExtend( M30:M34,O30:O34, AA30:AA34,AC30:AC34))</f>
        <v>-0.10054697332717999</v>
      </c>
      <c r="AN30" s="35">
        <f t="array" ref="AN30">IF( OR(AND(ISBLANK(M30:M34)),AND(ISBLANK(AA30:AA34)), AND(ISBLANK(P30:P34)),AND(ISBLANK(AD30:AD34))), "·", bdRateExtend( M30:M34,P30:P34, AA30:AA34,AD30:AD34))</f>
        <v>1.4308694745478467E-2</v>
      </c>
      <c r="AO30" s="35">
        <f t="array" ref="AO30">IF( OR(AND(ISBLANK(M30:M34)),AND(ISBLANK(AA30:AA34)), AND(ISBLANK(Q30:Q34)),AND(ISBLANK(AE30:AE34))), "·", bdRateExtend( M30:M34,Q30:Q34, AA30:AA34,AE30:AE34))</f>
        <v>3.1489674944773505E-4</v>
      </c>
      <c r="AP30" s="35">
        <f t="array" ref="AP30">IF( OR(AND(ISBLANK(M30:M34)),AND(ISBLANK(AA30:AA34)), AND(ISBLANK(R30:R34)),AND(ISBLANK(AF30:AF34))), "·", bdRateExtend( M30:M34,R30:R34, AA30:AA34,AF30:AF34))</f>
        <v>9.5397187312447063E-3</v>
      </c>
      <c r="AQ30" s="35">
        <f t="array" ref="AQ30">IF( OR(AND(ISBLANK(M30:M34)),AND(ISBLANK(AA30:AA34)), AND(ISBLANK(S30:S34)),AND(ISBLANK(AG30:AG34))), "·", bdRateExtend( M30:M34,S30:S34, AA30:AA34,AG30:AG34))</f>
        <v>-0.10128594348649977</v>
      </c>
      <c r="AR30" s="35">
        <f t="array" ref="AR30">IF( OR(AND(ISBLANK(M30:M34)),AND(ISBLANK(AA30:AA34)), AND(ISBLANK(T30:T34)),AND(ISBLANK(AH30:AH34))), "·", bdRateExtend( M30:M34,T30:T34, AA30:AA34,AH30:AH34))</f>
        <v>-5.514961206427893E-2</v>
      </c>
    </row>
    <row r="31" spans="1:44" outlineLevel="1" x14ac:dyDescent="0.35">
      <c r="A31" s="12"/>
      <c r="B31" s="12" t="s">
        <v>68</v>
      </c>
      <c r="C31" s="14" t="s">
        <v>371</v>
      </c>
      <c r="D31" s="12">
        <v>5997654</v>
      </c>
      <c r="E31" s="13">
        <v>12</v>
      </c>
      <c r="F31" s="14">
        <v>32</v>
      </c>
      <c r="G31" s="14">
        <v>30</v>
      </c>
      <c r="H31" s="14">
        <v>8</v>
      </c>
      <c r="J31" s="15">
        <f t="shared" si="0"/>
        <v>6.2118450000000003</v>
      </c>
      <c r="K31" s="16">
        <f t="shared" si="1"/>
        <v>1.1047599611448076</v>
      </c>
      <c r="L31" s="39">
        <v>2449840</v>
      </c>
      <c r="M31" s="17">
        <v>6625968</v>
      </c>
      <c r="N31" s="40">
        <v>75.955084299999996</v>
      </c>
      <c r="O31" s="40">
        <v>77.893559400000001</v>
      </c>
      <c r="P31" s="40">
        <v>39.578807500000003</v>
      </c>
      <c r="Q31" s="40">
        <v>45.514550700000001</v>
      </c>
      <c r="R31" s="40">
        <v>44.345151999999999</v>
      </c>
      <c r="S31" s="40">
        <v>48.285305399999999</v>
      </c>
      <c r="T31" s="40">
        <v>36.243893200000002</v>
      </c>
      <c r="U31" s="18">
        <v>12185.166166000001</v>
      </c>
      <c r="V31" s="18">
        <v>61.612450000000003</v>
      </c>
      <c r="X31" s="15">
        <f t="shared" si="2"/>
        <v>5.4315674999999999</v>
      </c>
      <c r="Y31" s="16">
        <f t="shared" si="3"/>
        <v>0.96598970197347167</v>
      </c>
      <c r="Z31" s="39">
        <v>2450160</v>
      </c>
      <c r="AA31" s="17">
        <v>5793672</v>
      </c>
      <c r="AB31" s="40">
        <v>75.928405600000005</v>
      </c>
      <c r="AC31" s="40">
        <v>77.855514200000002</v>
      </c>
      <c r="AD31" s="40">
        <v>39.207823500000003</v>
      </c>
      <c r="AE31" s="40">
        <v>45.331378299999997</v>
      </c>
      <c r="AF31" s="40">
        <v>44.088093299999997</v>
      </c>
      <c r="AG31" s="40">
        <v>48.281767199999997</v>
      </c>
      <c r="AH31" s="40">
        <v>36.048455099999998</v>
      </c>
      <c r="AI31" s="18">
        <v>11365.245102999999</v>
      </c>
      <c r="AJ31" s="18">
        <v>77.142864000000003</v>
      </c>
      <c r="AL31" s="19"/>
      <c r="AM31" s="19"/>
      <c r="AN31" s="19"/>
      <c r="AO31" s="19"/>
      <c r="AP31" s="19"/>
      <c r="AQ31" s="19"/>
      <c r="AR31" s="19"/>
    </row>
    <row r="32" spans="1:44" outlineLevel="1" x14ac:dyDescent="0.35">
      <c r="A32" s="28"/>
      <c r="B32" s="28" t="s">
        <v>68</v>
      </c>
      <c r="C32" s="30" t="s">
        <v>372</v>
      </c>
      <c r="D32" s="28">
        <v>5997654</v>
      </c>
      <c r="E32" s="29">
        <v>12</v>
      </c>
      <c r="F32" s="30">
        <v>32</v>
      </c>
      <c r="G32" s="30">
        <v>30</v>
      </c>
      <c r="H32" s="30">
        <v>12</v>
      </c>
      <c r="J32" s="31">
        <f t="shared" si="0"/>
        <v>9.3556875000000002</v>
      </c>
      <c r="K32" s="32">
        <f t="shared" si="1"/>
        <v>1.663883911942903</v>
      </c>
      <c r="L32" s="41">
        <v>2449840</v>
      </c>
      <c r="M32" s="33">
        <v>9979400</v>
      </c>
      <c r="N32" s="42">
        <v>76.706620599999994</v>
      </c>
      <c r="O32" s="42">
        <v>78.779275200000001</v>
      </c>
      <c r="P32" s="42">
        <v>41.393509000000002</v>
      </c>
      <c r="Q32" s="42">
        <v>46.220586699999998</v>
      </c>
      <c r="R32" s="42">
        <v>45.201267000000001</v>
      </c>
      <c r="S32" s="42">
        <v>48.688803</v>
      </c>
      <c r="T32" s="42">
        <v>37.243607699999998</v>
      </c>
      <c r="U32" s="34">
        <v>12523.296496000001</v>
      </c>
      <c r="V32" s="34">
        <v>63.257305000000002</v>
      </c>
      <c r="X32" s="31">
        <f t="shared" si="2"/>
        <v>8.4449100000000001</v>
      </c>
      <c r="Y32" s="32">
        <f t="shared" si="3"/>
        <v>1.5019045780233404</v>
      </c>
      <c r="Z32" s="41">
        <v>2450160</v>
      </c>
      <c r="AA32" s="33">
        <v>9007904</v>
      </c>
      <c r="AB32" s="42">
        <v>76.677605299999996</v>
      </c>
      <c r="AC32" s="42">
        <v>78.733891499999999</v>
      </c>
      <c r="AD32" s="42">
        <v>41.044245799999999</v>
      </c>
      <c r="AE32" s="42">
        <v>46.013654000000002</v>
      </c>
      <c r="AF32" s="42">
        <v>44.944769299999997</v>
      </c>
      <c r="AG32" s="42">
        <v>48.673261699999998</v>
      </c>
      <c r="AH32" s="42">
        <v>37.088176500000003</v>
      </c>
      <c r="AI32" s="34">
        <v>10822.516661</v>
      </c>
      <c r="AJ32" s="34">
        <v>63.904487000000003</v>
      </c>
      <c r="AL32" s="35"/>
      <c r="AM32" s="35"/>
      <c r="AN32" s="35"/>
      <c r="AO32" s="35"/>
      <c r="AP32" s="35"/>
      <c r="AQ32" s="35"/>
      <c r="AR32" s="35"/>
    </row>
    <row r="33" spans="1:44" outlineLevel="1" x14ac:dyDescent="0.35">
      <c r="A33" s="12"/>
      <c r="B33" s="12" t="s">
        <v>68</v>
      </c>
      <c r="C33" s="14" t="s">
        <v>373</v>
      </c>
      <c r="D33" s="12">
        <v>5997654</v>
      </c>
      <c r="E33" s="13">
        <v>12</v>
      </c>
      <c r="F33" s="14">
        <v>32</v>
      </c>
      <c r="G33" s="14">
        <v>30</v>
      </c>
      <c r="H33" s="14">
        <v>17</v>
      </c>
      <c r="J33" s="15">
        <f t="shared" si="0"/>
        <v>13.611045000000001</v>
      </c>
      <c r="K33" s="16">
        <f t="shared" si="1"/>
        <v>2.4206878222718418</v>
      </c>
      <c r="L33" s="39">
        <v>4909088</v>
      </c>
      <c r="M33" s="17">
        <v>14518448</v>
      </c>
      <c r="N33" s="40">
        <v>80.795180200000004</v>
      </c>
      <c r="O33" s="40">
        <v>84.088485700000007</v>
      </c>
      <c r="P33" s="40">
        <v>42.560816099999997</v>
      </c>
      <c r="Q33" s="40">
        <v>47.061757900000003</v>
      </c>
      <c r="R33" s="40">
        <v>46.180168500000001</v>
      </c>
      <c r="S33" s="40">
        <v>51.216741499999998</v>
      </c>
      <c r="T33" s="40">
        <v>39.599403100000004</v>
      </c>
      <c r="U33" s="18">
        <v>13611.049383</v>
      </c>
      <c r="V33" s="18">
        <v>65.207607999999993</v>
      </c>
      <c r="X33" s="15">
        <f t="shared" si="2"/>
        <v>12.32436</v>
      </c>
      <c r="Y33" s="16">
        <f t="shared" si="3"/>
        <v>2.1918543483835511</v>
      </c>
      <c r="Z33" s="39">
        <v>4909184</v>
      </c>
      <c r="AA33" s="17">
        <v>13145984</v>
      </c>
      <c r="AB33" s="40">
        <v>80.783485799999994</v>
      </c>
      <c r="AC33" s="40">
        <v>84.068173400000006</v>
      </c>
      <c r="AD33" s="40">
        <v>42.0901955</v>
      </c>
      <c r="AE33" s="40">
        <v>46.770424200000001</v>
      </c>
      <c r="AF33" s="40">
        <v>45.825873700000002</v>
      </c>
      <c r="AG33" s="40">
        <v>51.221945699999999</v>
      </c>
      <c r="AH33" s="40">
        <v>39.3318121</v>
      </c>
      <c r="AI33" s="18">
        <v>13152.36952</v>
      </c>
      <c r="AJ33" s="18">
        <v>77.647463999999999</v>
      </c>
      <c r="AL33" s="19"/>
      <c r="AM33" s="19"/>
      <c r="AN33" s="19"/>
      <c r="AO33" s="19"/>
      <c r="AP33" s="19"/>
      <c r="AQ33" s="19"/>
      <c r="AR33" s="19"/>
    </row>
    <row r="34" spans="1:44" ht="15.75" customHeight="1" outlineLevel="1" thickBot="1" x14ac:dyDescent="0.4">
      <c r="A34" s="28"/>
      <c r="B34" s="20" t="s">
        <v>68</v>
      </c>
      <c r="C34" s="22" t="s">
        <v>374</v>
      </c>
      <c r="D34" s="20">
        <v>5997654</v>
      </c>
      <c r="E34" s="21">
        <v>12</v>
      </c>
      <c r="F34" s="22">
        <v>32</v>
      </c>
      <c r="G34" s="22">
        <v>30</v>
      </c>
      <c r="H34" s="22">
        <v>25</v>
      </c>
      <c r="J34" s="23">
        <f t="shared" si="0"/>
        <v>21.745335000000001</v>
      </c>
      <c r="K34" s="24">
        <f t="shared" si="1"/>
        <v>3.8673494669749204</v>
      </c>
      <c r="L34" s="53">
        <v>614149</v>
      </c>
      <c r="M34" s="25">
        <v>23195024</v>
      </c>
      <c r="N34" s="54">
        <v>83.292922099999998</v>
      </c>
      <c r="O34" s="54">
        <v>87.0671885</v>
      </c>
      <c r="P34" s="54">
        <v>43.703677800000001</v>
      </c>
      <c r="Q34" s="54">
        <v>47.797372199999998</v>
      </c>
      <c r="R34" s="54">
        <v>47.057623599999999</v>
      </c>
      <c r="S34" s="54">
        <v>53.341924200000001</v>
      </c>
      <c r="T34" s="54">
        <v>41.3423497</v>
      </c>
      <c r="U34" s="26">
        <v>7924.6795199999997</v>
      </c>
      <c r="V34" s="26">
        <v>69.754431999999994</v>
      </c>
      <c r="X34" s="23">
        <f t="shared" si="2"/>
        <v>20.904164999999999</v>
      </c>
      <c r="Y34" s="24">
        <f t="shared" si="3"/>
        <v>3.7177496401092829</v>
      </c>
      <c r="Z34" s="53">
        <v>614149</v>
      </c>
      <c r="AA34" s="25">
        <v>22297776</v>
      </c>
      <c r="AB34" s="54">
        <v>83.292922099999998</v>
      </c>
      <c r="AC34" s="54">
        <v>87.067249099999998</v>
      </c>
      <c r="AD34" s="54">
        <v>43.211444700000001</v>
      </c>
      <c r="AE34" s="54">
        <v>47.542923899999998</v>
      </c>
      <c r="AF34" s="54">
        <v>46.7304222</v>
      </c>
      <c r="AG34" s="54">
        <v>53.341924200000001</v>
      </c>
      <c r="AH34" s="54">
        <v>41.0140697</v>
      </c>
      <c r="AI34" s="26">
        <v>5308.9130260000002</v>
      </c>
      <c r="AJ34" s="26">
        <v>84.398486000000005</v>
      </c>
      <c r="AL34" s="27"/>
      <c r="AM34" s="27"/>
      <c r="AN34" s="27"/>
      <c r="AO34" s="27"/>
      <c r="AP34" s="27"/>
      <c r="AQ34" s="27"/>
      <c r="AR34" s="27"/>
    </row>
    <row r="35" spans="1:44" x14ac:dyDescent="0.35">
      <c r="A35" s="12"/>
      <c r="B35" s="12" t="s">
        <v>32</v>
      </c>
      <c r="C35" s="14" t="s">
        <v>370</v>
      </c>
      <c r="D35" s="12">
        <v>9000000</v>
      </c>
      <c r="E35" s="13">
        <v>12</v>
      </c>
      <c r="F35" s="14">
        <v>32</v>
      </c>
      <c r="G35" s="14">
        <v>30</v>
      </c>
      <c r="H35" s="14">
        <v>3</v>
      </c>
      <c r="J35" s="15">
        <f t="shared" si="0"/>
        <v>2.7849374999999998</v>
      </c>
      <c r="K35" s="16">
        <f t="shared" si="1"/>
        <v>0.33006666666666667</v>
      </c>
      <c r="L35" s="39">
        <v>3680512</v>
      </c>
      <c r="M35" s="17">
        <v>2970600</v>
      </c>
      <c r="N35" s="40">
        <v>72.274590399999994</v>
      </c>
      <c r="O35" s="40">
        <v>73.805226300000001</v>
      </c>
      <c r="P35" s="40">
        <v>29.823357099999999</v>
      </c>
      <c r="Q35" s="40">
        <v>38.873054199999999</v>
      </c>
      <c r="R35" s="40">
        <v>38.822116700000002</v>
      </c>
      <c r="S35" s="40">
        <v>47.910248600000003</v>
      </c>
      <c r="T35" s="40">
        <v>28.918730199999999</v>
      </c>
      <c r="U35" s="18">
        <v>3086.5168720000001</v>
      </c>
      <c r="V35" s="18">
        <v>15.557734999999999</v>
      </c>
      <c r="X35" s="15">
        <f t="shared" si="2"/>
        <v>2.7512400000000001</v>
      </c>
      <c r="Y35" s="16">
        <f t="shared" si="3"/>
        <v>0.32607288888888891</v>
      </c>
      <c r="Z35" s="39">
        <v>3680512</v>
      </c>
      <c r="AA35" s="17">
        <v>2934656</v>
      </c>
      <c r="AB35" s="40">
        <v>72.279183200000006</v>
      </c>
      <c r="AC35" s="40">
        <v>73.809797700000004</v>
      </c>
      <c r="AD35" s="40">
        <v>29.576215300000001</v>
      </c>
      <c r="AE35" s="40">
        <v>38.860995000000003</v>
      </c>
      <c r="AF35" s="40">
        <v>38.663217199999998</v>
      </c>
      <c r="AG35" s="40">
        <v>47.914312600000002</v>
      </c>
      <c r="AH35" s="40">
        <v>28.740987199999999</v>
      </c>
      <c r="AI35" s="18">
        <v>2754.9211869999999</v>
      </c>
      <c r="AJ35" s="18">
        <v>14.83779</v>
      </c>
      <c r="AL35" s="19">
        <f t="array" ref="AL35">IF( OR(AND(ISBLANK(M35:M39)),AND(ISBLANK(AA35:AA39)), AND(ISBLANK(N35:N39)),AND(ISBLANK(AB35:AB39))), "·", bdRateExtend( M35:M39,N35:N39, AA35:AA39,AB35:AB39))</f>
        <v>-1.6180997130547992E-2</v>
      </c>
      <c r="AM35" s="19">
        <f t="array" ref="AM35">IF( OR(AND(ISBLANK(M35:M39)),AND(ISBLANK(AA35:AA39)), AND(ISBLANK(O35:O39)),AND(ISBLANK(AC35:AC39))), "·", bdRateExtend( M35:M39,O35:O39, AA35:AA39,AC35:AC39))</f>
        <v>-1.620324509097637E-2</v>
      </c>
      <c r="AN35" s="19">
        <f t="array" ref="AN35">IF( OR(AND(ISBLANK(M35:M39)),AND(ISBLANK(AA35:AA39)), AND(ISBLANK(P35:P39)),AND(ISBLANK(AD35:AD39))), "·", bdRateExtend( M35:M39,P35:P39, AA35:AA39,AD35:AD39))</f>
        <v>0.26650662674122905</v>
      </c>
      <c r="AO35" s="19">
        <f t="array" ref="AO35">IF( OR(AND(ISBLANK(M35:M39)),AND(ISBLANK(AA35:AA39)), AND(ISBLANK(Q35:Q39)),AND(ISBLANK(AE35:AE39))), "·", bdRateExtend( M35:M39,Q35:Q39, AA35:AA39,AE35:AE39))</f>
        <v>9.7564699645420472E-2</v>
      </c>
      <c r="AP35" s="19">
        <f t="array" ref="AP35">IF( OR(AND(ISBLANK(M35:M39)),AND(ISBLANK(AA35:AA39)), AND(ISBLANK(R35:R39)),AND(ISBLANK(AF35:AF39))), "·", bdRateExtend( M35:M39,R35:R39, AA35:AA39,AF35:AF39))</f>
        <v>0.13888093993408424</v>
      </c>
      <c r="AQ35" s="19">
        <f t="array" ref="AQ35">IF( OR(AND(ISBLANK(M35:M39)),AND(ISBLANK(AA35:AA39)), AND(ISBLANK(S35:S39)),AND(ISBLANK(AG35:AG39))), "·", bdRateExtend( M35:M39,S35:S39, AA35:AA39,AG35:AG39))</f>
        <v>-1.6007201705496077E-2</v>
      </c>
      <c r="AR35" s="19">
        <f t="array" ref="AR35">IF( OR(AND(ISBLANK(M35:M39)),AND(ISBLANK(AA35:AA39)), AND(ISBLANK(T35:T39)),AND(ISBLANK(AH35:AH39))), "·", bdRateExtend( M35:M39,T35:T39, AA35:AA39,AH35:AH39))</f>
        <v>2.9260370750736397E-2</v>
      </c>
    </row>
    <row r="36" spans="1:44" outlineLevel="1" x14ac:dyDescent="0.35">
      <c r="A36" s="28"/>
      <c r="B36" s="28" t="s">
        <v>32</v>
      </c>
      <c r="C36" s="30" t="s">
        <v>371</v>
      </c>
      <c r="D36" s="28">
        <v>9000000</v>
      </c>
      <c r="E36" s="29">
        <v>12</v>
      </c>
      <c r="F36" s="30">
        <v>32</v>
      </c>
      <c r="G36" s="30">
        <v>30</v>
      </c>
      <c r="H36" s="30">
        <v>4</v>
      </c>
      <c r="J36" s="31">
        <f t="shared" si="0"/>
        <v>3.7816800000000002</v>
      </c>
      <c r="K36" s="32">
        <f t="shared" si="1"/>
        <v>0.4481991111111111</v>
      </c>
      <c r="L36" s="41">
        <v>3680512</v>
      </c>
      <c r="M36" s="33">
        <v>4033792</v>
      </c>
      <c r="N36" s="42">
        <v>73.261614199999997</v>
      </c>
      <c r="O36" s="42">
        <v>74.898177000000004</v>
      </c>
      <c r="P36" s="42">
        <v>30.192587100000001</v>
      </c>
      <c r="Q36" s="42">
        <v>38.9384643</v>
      </c>
      <c r="R36" s="42">
        <v>38.924139500000003</v>
      </c>
      <c r="S36" s="42">
        <v>48.392262700000003</v>
      </c>
      <c r="T36" s="42">
        <v>29.2666957</v>
      </c>
      <c r="U36" s="34">
        <v>3130.099678</v>
      </c>
      <c r="V36" s="34">
        <v>15.19941</v>
      </c>
      <c r="X36" s="31">
        <f t="shared" si="2"/>
        <v>3.7053449999999999</v>
      </c>
      <c r="Y36" s="32">
        <f t="shared" si="3"/>
        <v>0.43915199999999999</v>
      </c>
      <c r="Z36" s="41">
        <v>3680512</v>
      </c>
      <c r="AA36" s="33">
        <v>3952368</v>
      </c>
      <c r="AB36" s="42">
        <v>73.269229499999994</v>
      </c>
      <c r="AC36" s="42">
        <v>74.904892899999993</v>
      </c>
      <c r="AD36" s="42">
        <v>29.949555199999999</v>
      </c>
      <c r="AE36" s="42">
        <v>38.913539800000002</v>
      </c>
      <c r="AF36" s="42">
        <v>38.780028000000001</v>
      </c>
      <c r="AG36" s="42">
        <v>48.391946599999997</v>
      </c>
      <c r="AH36" s="42">
        <v>29.084436100000001</v>
      </c>
      <c r="AI36" s="34">
        <v>2811.7121940000002</v>
      </c>
      <c r="AJ36" s="34">
        <v>15.103872000000001</v>
      </c>
      <c r="AL36" s="35"/>
      <c r="AM36" s="35"/>
      <c r="AN36" s="35"/>
      <c r="AO36" s="35"/>
      <c r="AP36" s="35"/>
      <c r="AQ36" s="35"/>
      <c r="AR36" s="35"/>
    </row>
    <row r="37" spans="1:44" outlineLevel="1" x14ac:dyDescent="0.35">
      <c r="A37" s="12"/>
      <c r="B37" s="12" t="s">
        <v>32</v>
      </c>
      <c r="C37" s="14" t="s">
        <v>372</v>
      </c>
      <c r="D37" s="12">
        <v>9000000</v>
      </c>
      <c r="E37" s="13">
        <v>12</v>
      </c>
      <c r="F37" s="14">
        <v>32</v>
      </c>
      <c r="G37" s="14">
        <v>30</v>
      </c>
      <c r="H37" s="14">
        <v>6</v>
      </c>
      <c r="J37" s="15">
        <f t="shared" si="0"/>
        <v>5.3399099999999997</v>
      </c>
      <c r="K37" s="16">
        <f t="shared" si="1"/>
        <v>0.63287822222222223</v>
      </c>
      <c r="L37" s="39">
        <v>3680512</v>
      </c>
      <c r="M37" s="17">
        <v>5695904</v>
      </c>
      <c r="N37" s="40">
        <v>75.739699599999994</v>
      </c>
      <c r="O37" s="40">
        <v>77.651199700000006</v>
      </c>
      <c r="P37" s="40">
        <v>30.8841742</v>
      </c>
      <c r="Q37" s="40">
        <v>39.042191099999997</v>
      </c>
      <c r="R37" s="40">
        <v>39.245666200000002</v>
      </c>
      <c r="S37" s="40">
        <v>49.625823099999998</v>
      </c>
      <c r="T37" s="40">
        <v>30.021154200000002</v>
      </c>
      <c r="U37" s="18">
        <v>9642.0253229999998</v>
      </c>
      <c r="V37" s="18">
        <v>59.884003999999997</v>
      </c>
      <c r="X37" s="15">
        <f t="shared" si="2"/>
        <v>5.2167225000000004</v>
      </c>
      <c r="Y37" s="16">
        <f t="shared" si="3"/>
        <v>0.61827822222222217</v>
      </c>
      <c r="Z37" s="39">
        <v>3680512</v>
      </c>
      <c r="AA37" s="17">
        <v>5564504</v>
      </c>
      <c r="AB37" s="40">
        <v>75.753269599999996</v>
      </c>
      <c r="AC37" s="40">
        <v>77.663627700000006</v>
      </c>
      <c r="AD37" s="40">
        <v>30.631913900000001</v>
      </c>
      <c r="AE37" s="40">
        <v>39.051362400000002</v>
      </c>
      <c r="AF37" s="40">
        <v>39.082377999999999</v>
      </c>
      <c r="AG37" s="40">
        <v>49.620518199999999</v>
      </c>
      <c r="AH37" s="40">
        <v>29.8282004</v>
      </c>
      <c r="AI37" s="18">
        <v>8847.8803750000006</v>
      </c>
      <c r="AJ37" s="18">
        <v>64.082954000000001</v>
      </c>
      <c r="AL37" s="19"/>
      <c r="AM37" s="19"/>
      <c r="AN37" s="19"/>
      <c r="AO37" s="19"/>
      <c r="AP37" s="19"/>
      <c r="AQ37" s="19"/>
      <c r="AR37" s="19"/>
    </row>
    <row r="38" spans="1:44" outlineLevel="1" x14ac:dyDescent="0.35">
      <c r="A38" s="28"/>
      <c r="B38" s="28" t="s">
        <v>32</v>
      </c>
      <c r="C38" s="30" t="s">
        <v>373</v>
      </c>
      <c r="D38" s="28">
        <v>9000000</v>
      </c>
      <c r="E38" s="29">
        <v>12</v>
      </c>
      <c r="F38" s="30">
        <v>32</v>
      </c>
      <c r="G38" s="30">
        <v>30</v>
      </c>
      <c r="H38" s="30">
        <v>8</v>
      </c>
      <c r="J38" s="31">
        <f t="shared" si="0"/>
        <v>7.6114125000000001</v>
      </c>
      <c r="K38" s="32">
        <f t="shared" si="1"/>
        <v>0.9020933333333333</v>
      </c>
      <c r="L38" s="41">
        <v>959238</v>
      </c>
      <c r="M38" s="33">
        <v>8118840</v>
      </c>
      <c r="N38" s="42">
        <v>478.51144199999999</v>
      </c>
      <c r="O38" s="42">
        <v>482.04691600000001</v>
      </c>
      <c r="P38" s="42">
        <v>30.741861499999999</v>
      </c>
      <c r="Q38" s="42">
        <v>38.976118200000002</v>
      </c>
      <c r="R38" s="42">
        <v>39.023943000000003</v>
      </c>
      <c r="S38" s="42">
        <v>470.15078099999999</v>
      </c>
      <c r="T38" s="42">
        <v>30.7237069</v>
      </c>
      <c r="U38" s="34">
        <v>9569.9123170000003</v>
      </c>
      <c r="V38" s="34">
        <v>69.035870000000003</v>
      </c>
      <c r="X38" s="31">
        <f t="shared" si="2"/>
        <v>7.5492675</v>
      </c>
      <c r="Y38" s="32">
        <f t="shared" si="3"/>
        <v>0.89472799999999997</v>
      </c>
      <c r="Z38" s="41">
        <v>959238</v>
      </c>
      <c r="AA38" s="33">
        <v>8052552</v>
      </c>
      <c r="AB38" s="42">
        <v>478.51144199999999</v>
      </c>
      <c r="AC38" s="42">
        <v>482.04691600000001</v>
      </c>
      <c r="AD38" s="42">
        <v>30.7453173</v>
      </c>
      <c r="AE38" s="42">
        <v>38.984652400000002</v>
      </c>
      <c r="AF38" s="42">
        <v>39.095827100000001</v>
      </c>
      <c r="AG38" s="42">
        <v>470.15078099999999</v>
      </c>
      <c r="AH38" s="42">
        <v>30.726551300000001</v>
      </c>
      <c r="AI38" s="34">
        <v>6221.6550180000004</v>
      </c>
      <c r="AJ38" s="34">
        <v>57.929955</v>
      </c>
      <c r="AL38" s="35"/>
      <c r="AM38" s="35"/>
      <c r="AN38" s="35"/>
      <c r="AO38" s="35"/>
      <c r="AP38" s="35"/>
      <c r="AQ38" s="35"/>
      <c r="AR38" s="35"/>
    </row>
    <row r="39" spans="1:44" ht="15.75" customHeight="1" outlineLevel="1" thickBot="1" x14ac:dyDescent="0.4">
      <c r="A39" s="12"/>
      <c r="B39" s="43" t="s">
        <v>32</v>
      </c>
      <c r="C39" s="44" t="s">
        <v>374</v>
      </c>
      <c r="D39" s="43">
        <v>9000000</v>
      </c>
      <c r="E39" s="45">
        <v>12</v>
      </c>
      <c r="F39" s="44">
        <v>32</v>
      </c>
      <c r="G39" s="44">
        <v>30</v>
      </c>
      <c r="H39" s="44">
        <v>12</v>
      </c>
      <c r="J39" s="46">
        <f t="shared" si="0"/>
        <v>10.0606875</v>
      </c>
      <c r="K39" s="47">
        <f t="shared" si="1"/>
        <v>1.1923777777777778</v>
      </c>
      <c r="L39" s="48">
        <v>959238</v>
      </c>
      <c r="M39" s="49">
        <v>10731400</v>
      </c>
      <c r="N39" s="50">
        <v>478.51144199999999</v>
      </c>
      <c r="O39" s="50">
        <v>482.04691600000001</v>
      </c>
      <c r="P39" s="50">
        <v>31.944708200000001</v>
      </c>
      <c r="Q39" s="50">
        <v>39.113047100000003</v>
      </c>
      <c r="R39" s="50">
        <v>39.333270800000001</v>
      </c>
      <c r="S39" s="50">
        <v>470.15078099999999</v>
      </c>
      <c r="T39" s="50">
        <v>31.924756299999999</v>
      </c>
      <c r="U39" s="51">
        <v>7792.946089</v>
      </c>
      <c r="V39" s="51">
        <v>60.423909000000002</v>
      </c>
      <c r="X39" s="46">
        <f t="shared" si="2"/>
        <v>9.9733874999999994</v>
      </c>
      <c r="Y39" s="47">
        <f t="shared" si="3"/>
        <v>1.182031111111111</v>
      </c>
      <c r="Z39" s="48">
        <v>959238</v>
      </c>
      <c r="AA39" s="49">
        <v>10638280</v>
      </c>
      <c r="AB39" s="50">
        <v>478.51144199999999</v>
      </c>
      <c r="AC39" s="50">
        <v>482.04691600000001</v>
      </c>
      <c r="AD39" s="50">
        <v>31.938991600000001</v>
      </c>
      <c r="AE39" s="50">
        <v>39.111448600000003</v>
      </c>
      <c r="AF39" s="50">
        <v>39.313197799999998</v>
      </c>
      <c r="AG39" s="50">
        <v>470.15078099999999</v>
      </c>
      <c r="AH39" s="50">
        <v>31.920795699999999</v>
      </c>
      <c r="AI39" s="51">
        <v>6681.9596490000004</v>
      </c>
      <c r="AJ39" s="51">
        <v>60.343325</v>
      </c>
      <c r="AL39" s="52"/>
      <c r="AM39" s="52"/>
      <c r="AN39" s="52"/>
      <c r="AO39" s="52"/>
      <c r="AP39" s="52"/>
      <c r="AQ39" s="52"/>
      <c r="AR39" s="52"/>
    </row>
    <row r="40" spans="1:44" x14ac:dyDescent="0.35">
      <c r="A40" s="28"/>
      <c r="B40" s="28" t="s">
        <v>77</v>
      </c>
      <c r="C40" s="30" t="s">
        <v>370</v>
      </c>
      <c r="D40" s="28">
        <v>9000000</v>
      </c>
      <c r="E40" s="29">
        <v>12</v>
      </c>
      <c r="F40" s="30">
        <v>32</v>
      </c>
      <c r="G40" s="30">
        <v>30</v>
      </c>
      <c r="H40" s="30">
        <v>3</v>
      </c>
      <c r="J40" s="31">
        <f t="shared" si="0"/>
        <v>2.51214</v>
      </c>
      <c r="K40" s="32">
        <f t="shared" si="1"/>
        <v>0.29773511111111112</v>
      </c>
      <c r="L40" s="41">
        <v>3682048</v>
      </c>
      <c r="M40" s="33">
        <v>2679616</v>
      </c>
      <c r="N40" s="42">
        <v>73.686197800000002</v>
      </c>
      <c r="O40" s="42">
        <v>75.167036100000004</v>
      </c>
      <c r="P40" s="42">
        <v>32.828138799999998</v>
      </c>
      <c r="Q40" s="42">
        <v>42.3141909</v>
      </c>
      <c r="R40" s="42">
        <v>42.649406399999997</v>
      </c>
      <c r="S40" s="42">
        <v>48.916315900000001</v>
      </c>
      <c r="T40" s="42">
        <v>31.9807852</v>
      </c>
      <c r="U40" s="34">
        <v>2799.77079</v>
      </c>
      <c r="V40" s="34">
        <v>15.178096999999999</v>
      </c>
      <c r="X40" s="31">
        <f t="shared" si="2"/>
        <v>2.3326425</v>
      </c>
      <c r="Y40" s="32">
        <f t="shared" si="3"/>
        <v>0.27646133333333334</v>
      </c>
      <c r="Z40" s="41">
        <v>3682048</v>
      </c>
      <c r="AA40" s="33">
        <v>2488152</v>
      </c>
      <c r="AB40" s="42">
        <v>73.666617000000002</v>
      </c>
      <c r="AC40" s="42">
        <v>75.147634699999998</v>
      </c>
      <c r="AD40" s="42">
        <v>32.711502099999997</v>
      </c>
      <c r="AE40" s="42">
        <v>42.299083500000002</v>
      </c>
      <c r="AF40" s="42">
        <v>42.625915900000003</v>
      </c>
      <c r="AG40" s="42">
        <v>48.929089599999998</v>
      </c>
      <c r="AH40" s="42">
        <v>31.855670799999999</v>
      </c>
      <c r="AI40" s="34">
        <v>2977.7161470000001</v>
      </c>
      <c r="AJ40" s="34">
        <v>16.858650999999998</v>
      </c>
      <c r="AL40" s="35">
        <f t="array" ref="AL40">IF( OR(AND(ISBLANK(M40:M44)),AND(ISBLANK(AA40:AA44)), AND(ISBLANK(N40:N44)),AND(ISBLANK(AB40:AB44))), "·", bdRateExtend( M40:M44,N40:N44, AA40:AA44,AB40:AB44))</f>
        <v>-5.6780884691666089E-2</v>
      </c>
      <c r="AM40" s="35">
        <f t="array" ref="AM40">IF( OR(AND(ISBLANK(M40:M44)),AND(ISBLANK(AA40:AA44)), AND(ISBLANK(O40:O44)),AND(ISBLANK(AC40:AC44))), "·", bdRateExtend( M40:M44,O40:O44, AA40:AA44,AC40:AC44))</f>
        <v>-5.7033912834802303E-2</v>
      </c>
      <c r="AN40" s="35">
        <f t="array" ref="AN40">IF( OR(AND(ISBLANK(M40:M44)),AND(ISBLANK(AA40:AA44)), AND(ISBLANK(P40:P44)),AND(ISBLANK(AD40:AD44))), "·", bdRateExtend( M40:M44,P40:P44, AA40:AA44,AD40:AD44))</f>
        <v>4.584188367027231E-3</v>
      </c>
      <c r="AO40" s="35">
        <f t="array" ref="AO40">IF( OR(AND(ISBLANK(M40:M44)),AND(ISBLANK(AA40:AA44)), AND(ISBLANK(Q40:Q44)),AND(ISBLANK(AE40:AE44))), "·", bdRateExtend( M40:M44,Q40:Q44, AA40:AA44,AE40:AE44))</f>
        <v>-7.6441790212622873E-2</v>
      </c>
      <c r="AP40" s="35">
        <f t="array" ref="AP40">IF( OR(AND(ISBLANK(M40:M44)),AND(ISBLANK(AA40:AA44)), AND(ISBLANK(R40:R44)),AND(ISBLANK(AF40:AF44))), "·", bdRateExtend( M40:M44,R40:R44, AA40:AA44,AF40:AF44))</f>
        <v>1.2701176388111746E-2</v>
      </c>
      <c r="AQ40" s="35">
        <f t="array" ref="AQ40">IF( OR(AND(ISBLANK(M40:M44)),AND(ISBLANK(AA40:AA44)), AND(ISBLANK(S40:S44)),AND(ISBLANK(AG40:AG44))), "·", bdRateExtend( M40:M44,S40:S44, AA40:AA44,AG40:AG44))</f>
        <v>-5.5964961492580012E-2</v>
      </c>
      <c r="AR40" s="35">
        <f t="array" ref="AR40">IF( OR(AND(ISBLANK(M40:M44)),AND(ISBLANK(AA40:AA44)), AND(ISBLANK(T40:T44)),AND(ISBLANK(AH40:AH44))), "·", bdRateExtend( M40:M44,T40:T44, AA40:AA44,AH40:AH44))</f>
        <v>-1.2323804754890144E-2</v>
      </c>
    </row>
    <row r="41" spans="1:44" outlineLevel="1" x14ac:dyDescent="0.35">
      <c r="A41" s="12"/>
      <c r="B41" s="12" t="s">
        <v>77</v>
      </c>
      <c r="C41" s="14" t="s">
        <v>371</v>
      </c>
      <c r="D41" s="12">
        <v>9000000</v>
      </c>
      <c r="E41" s="13">
        <v>12</v>
      </c>
      <c r="F41" s="14">
        <v>32</v>
      </c>
      <c r="G41" s="14">
        <v>30</v>
      </c>
      <c r="H41" s="14">
        <v>4</v>
      </c>
      <c r="J41" s="15">
        <f t="shared" si="0"/>
        <v>3.4110225000000001</v>
      </c>
      <c r="K41" s="16">
        <f t="shared" si="1"/>
        <v>0.40426933333333331</v>
      </c>
      <c r="L41" s="39">
        <v>3682048</v>
      </c>
      <c r="M41" s="17">
        <v>3638424</v>
      </c>
      <c r="N41" s="40">
        <v>74.611770699999994</v>
      </c>
      <c r="O41" s="40">
        <v>76.198942400000007</v>
      </c>
      <c r="P41" s="40">
        <v>33.248608400000002</v>
      </c>
      <c r="Q41" s="40">
        <v>42.446950000000001</v>
      </c>
      <c r="R41" s="40">
        <v>42.876021100000003</v>
      </c>
      <c r="S41" s="40">
        <v>49.404679899999998</v>
      </c>
      <c r="T41" s="40">
        <v>32.335002000000003</v>
      </c>
      <c r="U41" s="18">
        <v>3638.9930669999999</v>
      </c>
      <c r="V41" s="18">
        <v>16.401178000000002</v>
      </c>
      <c r="X41" s="15">
        <f t="shared" si="2"/>
        <v>3.1755</v>
      </c>
      <c r="Y41" s="16">
        <f t="shared" si="3"/>
        <v>0.37635555555555555</v>
      </c>
      <c r="Z41" s="39">
        <v>3682048</v>
      </c>
      <c r="AA41" s="17">
        <v>3387200</v>
      </c>
      <c r="AB41" s="40">
        <v>74.597948400000007</v>
      </c>
      <c r="AC41" s="40">
        <v>76.184774200000007</v>
      </c>
      <c r="AD41" s="40">
        <v>33.142523799999999</v>
      </c>
      <c r="AE41" s="40">
        <v>42.449550000000002</v>
      </c>
      <c r="AF41" s="40">
        <v>42.761901999999999</v>
      </c>
      <c r="AG41" s="40">
        <v>49.359937600000002</v>
      </c>
      <c r="AH41" s="40">
        <v>32.214692900000003</v>
      </c>
      <c r="AI41" s="18">
        <v>3013.8169509999998</v>
      </c>
      <c r="AJ41" s="18">
        <v>16.480591</v>
      </c>
      <c r="AL41" s="19"/>
      <c r="AM41" s="19"/>
      <c r="AN41" s="19"/>
      <c r="AO41" s="19"/>
      <c r="AP41" s="19"/>
      <c r="AQ41" s="19"/>
      <c r="AR41" s="19"/>
    </row>
    <row r="42" spans="1:44" outlineLevel="1" x14ac:dyDescent="0.35">
      <c r="A42" s="28"/>
      <c r="B42" s="28" t="s">
        <v>77</v>
      </c>
      <c r="C42" s="30" t="s">
        <v>372</v>
      </c>
      <c r="D42" s="28">
        <v>9000000</v>
      </c>
      <c r="E42" s="29">
        <v>12</v>
      </c>
      <c r="F42" s="30">
        <v>32</v>
      </c>
      <c r="G42" s="30">
        <v>30</v>
      </c>
      <c r="H42" s="30">
        <v>6</v>
      </c>
      <c r="J42" s="31">
        <f t="shared" si="0"/>
        <v>4.9099950000000003</v>
      </c>
      <c r="K42" s="32">
        <f t="shared" si="1"/>
        <v>0.58192533333333329</v>
      </c>
      <c r="L42" s="41">
        <v>3682048</v>
      </c>
      <c r="M42" s="33">
        <v>5237328</v>
      </c>
      <c r="N42" s="42">
        <v>76.877825299999998</v>
      </c>
      <c r="O42" s="42">
        <v>78.819125700000001</v>
      </c>
      <c r="P42" s="42">
        <v>33.885247800000002</v>
      </c>
      <c r="Q42" s="42">
        <v>42.714593600000001</v>
      </c>
      <c r="R42" s="42">
        <v>43.168756000000002</v>
      </c>
      <c r="S42" s="42">
        <v>50.6886996</v>
      </c>
      <c r="T42" s="42">
        <v>33.120274299999998</v>
      </c>
      <c r="U42" s="34">
        <v>9229.1000960000001</v>
      </c>
      <c r="V42" s="34">
        <v>57.096561000000001</v>
      </c>
      <c r="X42" s="31">
        <f t="shared" si="2"/>
        <v>4.4008425000000004</v>
      </c>
      <c r="Y42" s="32">
        <f t="shared" si="3"/>
        <v>0.52158133333333334</v>
      </c>
      <c r="Z42" s="41">
        <v>3682048</v>
      </c>
      <c r="AA42" s="33">
        <v>4694232</v>
      </c>
      <c r="AB42" s="42">
        <v>76.844864299999998</v>
      </c>
      <c r="AC42" s="42">
        <v>78.782486500000005</v>
      </c>
      <c r="AD42" s="42">
        <v>33.7342613</v>
      </c>
      <c r="AE42" s="42">
        <v>42.738839499999997</v>
      </c>
      <c r="AF42" s="42">
        <v>43.118168500000003</v>
      </c>
      <c r="AG42" s="42">
        <v>50.652026300000003</v>
      </c>
      <c r="AH42" s="42">
        <v>32.9850791</v>
      </c>
      <c r="AI42" s="34">
        <v>9611.7070779999995</v>
      </c>
      <c r="AJ42" s="34">
        <v>71.871741999999998</v>
      </c>
      <c r="AL42" s="35"/>
      <c r="AM42" s="35"/>
      <c r="AN42" s="35"/>
      <c r="AO42" s="35"/>
      <c r="AP42" s="35"/>
      <c r="AQ42" s="35"/>
      <c r="AR42" s="35"/>
    </row>
    <row r="43" spans="1:44" outlineLevel="1" x14ac:dyDescent="0.35">
      <c r="A43" s="12"/>
      <c r="B43" s="12" t="s">
        <v>77</v>
      </c>
      <c r="C43" s="14" t="s">
        <v>373</v>
      </c>
      <c r="D43" s="12">
        <v>9000000</v>
      </c>
      <c r="E43" s="13">
        <v>12</v>
      </c>
      <c r="F43" s="14">
        <v>32</v>
      </c>
      <c r="G43" s="14">
        <v>30</v>
      </c>
      <c r="H43" s="14">
        <v>8</v>
      </c>
      <c r="J43" s="15">
        <f t="shared" si="0"/>
        <v>6.8204250000000002</v>
      </c>
      <c r="K43" s="16">
        <f t="shared" si="1"/>
        <v>0.80834666666666666</v>
      </c>
      <c r="L43" s="39">
        <v>959624</v>
      </c>
      <c r="M43" s="17">
        <v>7275120</v>
      </c>
      <c r="N43" s="40">
        <v>479.66687100000001</v>
      </c>
      <c r="O43" s="40">
        <v>484.07664399999999</v>
      </c>
      <c r="P43" s="40">
        <v>33.891296699999998</v>
      </c>
      <c r="Q43" s="40">
        <v>42.711116500000003</v>
      </c>
      <c r="R43" s="40">
        <v>43.214067399999998</v>
      </c>
      <c r="S43" s="40">
        <v>480.41473100000002</v>
      </c>
      <c r="T43" s="40">
        <v>33.8830569</v>
      </c>
      <c r="U43" s="18">
        <v>6674.1690680000002</v>
      </c>
      <c r="V43" s="18">
        <v>57.440204000000001</v>
      </c>
      <c r="X43" s="15">
        <f t="shared" si="2"/>
        <v>6.7957875000000003</v>
      </c>
      <c r="Y43" s="16">
        <f t="shared" si="3"/>
        <v>0.80542666666666662</v>
      </c>
      <c r="Z43" s="39">
        <v>959624</v>
      </c>
      <c r="AA43" s="17">
        <v>7248840</v>
      </c>
      <c r="AB43" s="40">
        <v>479.66687100000001</v>
      </c>
      <c r="AC43" s="40">
        <v>484.07664399999999</v>
      </c>
      <c r="AD43" s="40">
        <v>33.890396899999999</v>
      </c>
      <c r="AE43" s="40">
        <v>42.715333999999999</v>
      </c>
      <c r="AF43" s="40">
        <v>43.218259600000003</v>
      </c>
      <c r="AG43" s="40">
        <v>480.41473100000002</v>
      </c>
      <c r="AH43" s="40">
        <v>33.883320500000004</v>
      </c>
      <c r="AI43" s="18">
        <v>6831.9064420000004</v>
      </c>
      <c r="AJ43" s="18">
        <v>58.567965999999998</v>
      </c>
      <c r="AL43" s="19"/>
      <c r="AM43" s="19"/>
      <c r="AN43" s="19"/>
      <c r="AO43" s="19"/>
      <c r="AP43" s="19"/>
      <c r="AQ43" s="19"/>
      <c r="AR43" s="19"/>
    </row>
    <row r="44" spans="1:44" ht="15.75" customHeight="1" outlineLevel="1" thickBot="1" x14ac:dyDescent="0.4">
      <c r="A44" s="20"/>
      <c r="B44" s="20" t="s">
        <v>77</v>
      </c>
      <c r="C44" s="22" t="s">
        <v>374</v>
      </c>
      <c r="D44" s="20">
        <v>9000000</v>
      </c>
      <c r="E44" s="21">
        <v>12</v>
      </c>
      <c r="F44" s="22">
        <v>32</v>
      </c>
      <c r="G44" s="22">
        <v>30</v>
      </c>
      <c r="H44" s="22">
        <v>12</v>
      </c>
      <c r="J44" s="23">
        <f t="shared" si="0"/>
        <v>9.5500425</v>
      </c>
      <c r="K44" s="24">
        <f t="shared" si="1"/>
        <v>1.1318568888888889</v>
      </c>
      <c r="L44" s="53">
        <v>959624</v>
      </c>
      <c r="M44" s="25">
        <v>10186712</v>
      </c>
      <c r="N44" s="54">
        <v>479.66687100000001</v>
      </c>
      <c r="O44" s="54">
        <v>484.07664399999999</v>
      </c>
      <c r="P44" s="54">
        <v>35.177263400000001</v>
      </c>
      <c r="Q44" s="54">
        <v>42.981297400000003</v>
      </c>
      <c r="R44" s="54">
        <v>43.630545599999998</v>
      </c>
      <c r="S44" s="54">
        <v>480.41473100000002</v>
      </c>
      <c r="T44" s="54">
        <v>35.161452500000003</v>
      </c>
      <c r="U44" s="26">
        <v>7036.0917030000001</v>
      </c>
      <c r="V44" s="26">
        <v>58.631594</v>
      </c>
      <c r="X44" s="23">
        <f t="shared" si="2"/>
        <v>9.5150924999999997</v>
      </c>
      <c r="Y44" s="24">
        <f t="shared" si="3"/>
        <v>1.1277146666666666</v>
      </c>
      <c r="Z44" s="53">
        <v>959624</v>
      </c>
      <c r="AA44" s="25">
        <v>10149432</v>
      </c>
      <c r="AB44" s="54">
        <v>479.66687100000001</v>
      </c>
      <c r="AC44" s="54">
        <v>484.07664399999999</v>
      </c>
      <c r="AD44" s="54">
        <v>35.185998099999999</v>
      </c>
      <c r="AE44" s="54">
        <v>43.013905399999999</v>
      </c>
      <c r="AF44" s="54">
        <v>43.632619200000001</v>
      </c>
      <c r="AG44" s="54">
        <v>480.41473100000002</v>
      </c>
      <c r="AH44" s="54">
        <v>35.1708778</v>
      </c>
      <c r="AI44" s="26">
        <v>8544.7554280000004</v>
      </c>
      <c r="AJ44" s="26">
        <v>71.352900000000005</v>
      </c>
      <c r="AL44" s="27"/>
      <c r="AM44" s="27"/>
      <c r="AN44" s="27"/>
      <c r="AO44" s="27"/>
      <c r="AP44" s="27"/>
      <c r="AQ44" s="27"/>
      <c r="AR44" s="27"/>
    </row>
    <row r="45" spans="1:44" x14ac:dyDescent="0.35">
      <c r="B45" s="36" t="s">
        <v>7</v>
      </c>
      <c r="K45" s="37">
        <f>AVERAGE(K5:K14)</f>
        <v>0.93874133447372488</v>
      </c>
      <c r="Y45" s="37">
        <f>AVERAGE(Y5:Y14)</f>
        <v>0.92674358464857698</v>
      </c>
      <c r="AL45" s="4">
        <f t="shared" ref="AL45:AR45" si="4">AVERAGE(AL5:AL14)</f>
        <v>-4.234491113348765E-2</v>
      </c>
      <c r="AM45" s="4">
        <f t="shared" si="4"/>
        <v>-4.2059502276663385E-2</v>
      </c>
      <c r="AN45" s="4">
        <f t="shared" si="4"/>
        <v>0.3140897249854907</v>
      </c>
      <c r="AO45" s="4">
        <f t="shared" si="4"/>
        <v>0.22879998254087153</v>
      </c>
      <c r="AP45" s="4">
        <f t="shared" si="4"/>
        <v>0.23880864830994941</v>
      </c>
      <c r="AQ45" s="4">
        <f t="shared" si="4"/>
        <v>-4.8669890590513576E-2</v>
      </c>
      <c r="AR45" s="4">
        <f t="shared" si="4"/>
        <v>0.1158968847198153</v>
      </c>
    </row>
    <row r="46" spans="1:44" x14ac:dyDescent="0.35">
      <c r="B46" s="36" t="s">
        <v>8</v>
      </c>
      <c r="K46" s="37">
        <f>AVERAGE(K15:K24)</f>
        <v>0.99678114065520873</v>
      </c>
      <c r="Y46" s="37">
        <f>AVERAGE(Y15:Y24)</f>
        <v>0.99849789940102718</v>
      </c>
      <c r="AL46" s="4">
        <f t="shared" ref="AL46:AR46" si="5">AVERAGE(AL15:AL24)</f>
        <v>-1.2035123820007543E-2</v>
      </c>
      <c r="AM46" s="4">
        <f t="shared" si="5"/>
        <v>-1.2019206899104684E-2</v>
      </c>
      <c r="AN46" s="4">
        <f t="shared" si="5"/>
        <v>0.24308709684363983</v>
      </c>
      <c r="AO46" s="4">
        <f t="shared" si="5"/>
        <v>8.5992474027254517E-2</v>
      </c>
      <c r="AP46" s="4">
        <f t="shared" si="5"/>
        <v>0.14287361052684333</v>
      </c>
      <c r="AQ46" s="4">
        <f t="shared" si="5"/>
        <v>-1.2179090361638945E-2</v>
      </c>
      <c r="AR46" s="4">
        <f t="shared" si="5"/>
        <v>5.9932332347991224E-2</v>
      </c>
    </row>
    <row r="47" spans="1:44" x14ac:dyDescent="0.35">
      <c r="B47" s="36" t="s">
        <v>9</v>
      </c>
      <c r="K47" s="37">
        <f>AVERAGE(K25:K44)</f>
        <v>1.0732374567233121</v>
      </c>
      <c r="Y47" s="37">
        <f>AVERAGE(Y25:Y44)</f>
        <v>1.0213683454659772</v>
      </c>
      <c r="AL47" s="4">
        <f t="shared" ref="AL47:AR47" si="6">AVERAGE(AL25:AL44)</f>
        <v>-4.9804946735554245E-2</v>
      </c>
      <c r="AM47" s="4">
        <f t="shared" si="6"/>
        <v>-4.9755526568773467E-2</v>
      </c>
      <c r="AN47" s="4">
        <f t="shared" si="6"/>
        <v>8.9234004390301214E-2</v>
      </c>
      <c r="AO47" s="4">
        <f t="shared" si="6"/>
        <v>2.9581445442468879E-2</v>
      </c>
      <c r="AP47" s="4">
        <f t="shared" si="6"/>
        <v>6.3314055856405149E-2</v>
      </c>
      <c r="AQ47" s="4">
        <f t="shared" si="6"/>
        <v>-5.1202071490419443E-2</v>
      </c>
      <c r="AR47" s="4">
        <f t="shared" si="6"/>
        <v>-4.7971757263419734E-3</v>
      </c>
    </row>
    <row r="48" spans="1:44" x14ac:dyDescent="0.35">
      <c r="B48" s="36" t="s">
        <v>10</v>
      </c>
      <c r="K48" s="37">
        <f>AVERAGE(K5:K44)</f>
        <v>1.0204993471438892</v>
      </c>
      <c r="Y48" s="37">
        <f>AVERAGE(Y5:Y44)</f>
        <v>0.99199454374538953</v>
      </c>
      <c r="AL48" s="4">
        <f t="shared" ref="AL48:AR48" si="7">AVERAGE(AL5:AL44)</f>
        <v>-3.8497482106150921E-2</v>
      </c>
      <c r="AM48" s="4">
        <f t="shared" si="7"/>
        <v>-3.8397440578328751E-2</v>
      </c>
      <c r="AN48" s="4">
        <f t="shared" si="7"/>
        <v>0.18391120765243324</v>
      </c>
      <c r="AO48" s="4">
        <f t="shared" si="7"/>
        <v>9.3488836863265951E-2</v>
      </c>
      <c r="AP48" s="4">
        <f t="shared" si="7"/>
        <v>0.12707759263740076</v>
      </c>
      <c r="AQ48" s="4">
        <f t="shared" si="7"/>
        <v>-4.0813280983247852E-2</v>
      </c>
      <c r="AR48" s="4">
        <f t="shared" si="7"/>
        <v>4.1558716403780643E-2</v>
      </c>
    </row>
    <row r="49" spans="1:36" x14ac:dyDescent="0.35">
      <c r="A49" s="36" t="s">
        <v>176</v>
      </c>
      <c r="B49" s="36" t="s">
        <v>177</v>
      </c>
      <c r="U49" s="38">
        <f>SUM(U5:U14,U15:U24,U25:U44)</f>
        <v>200764.60944300005</v>
      </c>
      <c r="V49" s="38">
        <f>SUM(V5:V14,V15:V24,V25:V44)</f>
        <v>1399.468048</v>
      </c>
      <c r="AI49" s="38">
        <f>SUM(AI5:AI14,AI15:AI24,AI25:AI44)</f>
        <v>168260.69446200001</v>
      </c>
      <c r="AJ49" s="38">
        <f>SUM(AJ5:AJ14,AJ15:AJ24,AJ25:AJ44)</f>
        <v>1517.0868770000002</v>
      </c>
    </row>
    <row r="50" spans="1:36" x14ac:dyDescent="0.35">
      <c r="B50" s="36" t="s">
        <v>178</v>
      </c>
      <c r="AI50" s="57">
        <f>AI49/U49</f>
        <v>0.83809937881393204</v>
      </c>
      <c r="AJ50" s="57">
        <f>AJ49/V49</f>
        <v>1.0840453836499455</v>
      </c>
    </row>
  </sheetData>
  <mergeCells count="29">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 ref="A2:A3"/>
    <mergeCell ref="B2:B3"/>
    <mergeCell ref="C2:C3"/>
    <mergeCell ref="D2:D3"/>
    <mergeCell ref="E2:E3"/>
    <mergeCell ref="N2:R2"/>
    <mergeCell ref="S2:T2"/>
    <mergeCell ref="U2:U3"/>
    <mergeCell ref="F2:F3"/>
    <mergeCell ref="G2:G3"/>
    <mergeCell ref="H2:H3"/>
    <mergeCell ref="J2:J3"/>
    <mergeCell ref="K2:K3"/>
  </mergeCells>
  <conditionalFormatting sqref="AL5 AL6 AL7 AL8 AL9 AL10 AL11 AL12 AL13 AL14 AL15 AL16 AL17 AL18 AL19 AL20 AL21 AL22 AL23 AL24 AL25 AL26 AL27 AL28 AL29 AL30 AL31 AL32 AL33 AL34 AL35 AL36 AL37 AL38 AL39 AL40 AL41 AL42 AL43 AL44 AL45 AL46 AL47 AL48">
    <cfRule type="cellIs" dxfId="15" priority="7" operator="greaterThanOrEqual">
      <formula>0.03</formula>
    </cfRule>
    <cfRule type="cellIs" dxfId="14" priority="8"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13" priority="3" operator="greaterThanOrEqual">
      <formula>0.03</formula>
    </cfRule>
    <cfRule type="cellIs" dxfId="12" priority="4"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11" priority="11" operator="greaterThanOrEqual">
      <formula>0.03</formula>
    </cfRule>
    <cfRule type="cellIs" dxfId="10" priority="12"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9" priority="13" operator="greaterThanOrEqual">
      <formula>0.03</formula>
    </cfRule>
    <cfRule type="cellIs" dxfId="8" priority="14"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7" priority="5" operator="greaterThanOrEqual">
      <formula>0.03</formula>
    </cfRule>
    <cfRule type="cellIs" dxfId="6" priority="6"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5" priority="15" operator="greaterThanOrEqual">
      <formula>0.03</formula>
    </cfRule>
    <cfRule type="cellIs" dxfId="4" priority="16"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3" priority="9" operator="greaterThanOrEqual">
      <formula>0.03</formula>
    </cfRule>
    <cfRule type="cellIs" dxfId="2" priority="10" operator="lessThanOrEqual">
      <formula>-0.03</formula>
    </cfRule>
  </conditionalFormatting>
  <conditionalFormatting sqref="J5:J45">
    <cfRule type="expression" dxfId="1" priority="2">
      <formula>OR(J5 &lt; H5 * 0.9, J5 &gt; H5)</formula>
    </cfRule>
  </conditionalFormatting>
  <conditionalFormatting sqref="X5:X45">
    <cfRule type="expression" dxfId="0" priority="1">
      <formula>OR(X5 &lt; H5 * 0.9, X5 &gt; H5)</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Summary</vt:lpstr>
      <vt:lpstr>Graphs</vt:lpstr>
      <vt:lpstr>C0 lossless AI</vt:lpstr>
      <vt:lpstr>names</vt:lpstr>
      <vt:lpstr>C1 lossy AI</vt:lpstr>
      <vt:lpstr>C2 lossy 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dynamic mesh coding reporting template WG7/N231</dc:title>
  <dc:creator>Bracco Graziosi, Danillo</dc:creator>
  <cp:lastModifiedBy>Bracco Graziosi, Danillo</cp:lastModifiedBy>
  <dcterms:created xsi:type="dcterms:W3CDTF">2021-10-29T10:34:58Z</dcterms:created>
  <dcterms:modified xsi:type="dcterms:W3CDTF">2023-05-13T15:26:58Z</dcterms:modified>
</cp:coreProperties>
</file>