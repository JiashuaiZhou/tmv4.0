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GitStorage\IDCC\mpeg-vmesh-tm\scripts\results\"/>
    </mc:Choice>
  </mc:AlternateContent>
  <xr:revisionPtr revIDLastSave="0" documentId="13_ncr:1_{D054AAE3-5736-4FD8-9697-513C229104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6" l="1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AG44" i="6"/>
  <c r="AG43" i="6"/>
  <c r="AG42" i="6"/>
  <c r="AG41" i="6"/>
  <c r="AG40" i="6"/>
  <c r="AG39" i="6"/>
  <c r="AG38" i="6"/>
  <c r="AG37" i="6"/>
  <c r="AG36" i="6"/>
  <c r="AG35" i="6"/>
  <c r="AG34" i="6"/>
  <c r="AG33" i="6"/>
  <c r="AG32" i="6"/>
  <c r="AG31" i="6"/>
  <c r="AG30" i="6"/>
  <c r="AG29" i="6"/>
  <c r="AG28" i="6"/>
  <c r="AG27" i="6"/>
  <c r="AG26" i="6"/>
  <c r="AG25" i="6"/>
  <c r="AG24" i="6"/>
  <c r="AG23" i="6"/>
  <c r="AG22" i="6"/>
  <c r="AG21" i="6"/>
  <c r="AG20" i="6"/>
  <c r="AG19" i="6"/>
  <c r="AG18" i="6"/>
  <c r="AG17" i="6"/>
  <c r="AG16" i="6"/>
  <c r="AG15" i="6"/>
  <c r="AG14" i="6"/>
  <c r="AG13" i="6"/>
  <c r="AG12" i="6"/>
  <c r="AG11" i="6"/>
  <c r="AG10" i="6"/>
  <c r="AG9" i="6"/>
  <c r="AG8" i="6"/>
  <c r="AG7" i="6"/>
  <c r="AG6" i="6"/>
  <c r="AG5" i="6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BN40" i="6" l="1" a="1"/>
  <c r="BN40" i="6" s="1"/>
  <c r="BM40" i="6" a="1"/>
  <c r="BM40" i="6" s="1"/>
  <c r="BL40" i="6" a="1"/>
  <c r="BL40" i="6" s="1"/>
  <c r="BK40" i="6" a="1"/>
  <c r="BK40" i="6" s="1"/>
  <c r="BJ40" i="6" a="1"/>
  <c r="BJ40" i="6" s="1"/>
  <c r="BI40" i="6"/>
  <c r="BI40" i="6" a="1"/>
  <c r="BH40" i="6" a="1"/>
  <c r="BH40" i="6" s="1"/>
  <c r="BF40" i="6" a="1"/>
  <c r="BF40" i="6" s="1"/>
  <c r="BE40" i="6" a="1"/>
  <c r="BE40" i="6" s="1"/>
  <c r="BD40" i="6" a="1"/>
  <c r="BD40" i="6" s="1"/>
  <c r="BC40" i="6" a="1"/>
  <c r="BC40" i="6" s="1"/>
  <c r="BB40" i="6" a="1"/>
  <c r="BB40" i="6" s="1"/>
  <c r="BA40" i="6" a="1"/>
  <c r="BA40" i="6" s="1"/>
  <c r="AZ40" i="6" a="1"/>
  <c r="AZ40" i="6" s="1"/>
  <c r="BN35" i="6" a="1"/>
  <c r="BN35" i="6" s="1"/>
  <c r="BM35" i="6" a="1"/>
  <c r="BM35" i="6" s="1"/>
  <c r="BL35" i="6" a="1"/>
  <c r="BL35" i="6" s="1"/>
  <c r="BK35" i="6"/>
  <c r="BK35" i="6" a="1"/>
  <c r="BJ35" i="6" a="1"/>
  <c r="BJ35" i="6" s="1"/>
  <c r="BI35" i="6" a="1"/>
  <c r="BI35" i="6" s="1"/>
  <c r="BH35" i="6" a="1"/>
  <c r="BH35" i="6" s="1"/>
  <c r="BF35" i="6" a="1"/>
  <c r="BF35" i="6" s="1"/>
  <c r="BE35" i="6" a="1"/>
  <c r="BE35" i="6" s="1"/>
  <c r="BD35" i="6" a="1"/>
  <c r="BD35" i="6" s="1"/>
  <c r="BC35" i="6" a="1"/>
  <c r="BC35" i="6" s="1"/>
  <c r="BB35" i="6" a="1"/>
  <c r="BB35" i="6" s="1"/>
  <c r="BA35" i="6" a="1"/>
  <c r="BA35" i="6" s="1"/>
  <c r="AZ35" i="6" a="1"/>
  <c r="AZ35" i="6" s="1"/>
  <c r="BN30" i="6" a="1"/>
  <c r="BN30" i="6" s="1"/>
  <c r="BM30" i="6"/>
  <c r="BM30" i="6" a="1"/>
  <c r="BL30" i="6" a="1"/>
  <c r="BL30" i="6" s="1"/>
  <c r="BK30" i="6" a="1"/>
  <c r="BK30" i="6" s="1"/>
  <c r="BJ30" i="6" a="1"/>
  <c r="BJ30" i="6" s="1"/>
  <c r="BI30" i="6" a="1"/>
  <c r="BI30" i="6" s="1"/>
  <c r="BH30" i="6" a="1"/>
  <c r="BH30" i="6" s="1"/>
  <c r="BF30" i="6" a="1"/>
  <c r="BF30" i="6" s="1"/>
  <c r="BE30" i="6" a="1"/>
  <c r="BE30" i="6" s="1"/>
  <c r="BD30" i="6" a="1"/>
  <c r="BD30" i="6" s="1"/>
  <c r="BC30" i="6" a="1"/>
  <c r="BC30" i="6" s="1"/>
  <c r="BB30" i="6" a="1"/>
  <c r="BB30" i="6" s="1"/>
  <c r="BA30" i="6" a="1"/>
  <c r="BA30" i="6" s="1"/>
  <c r="AZ30" i="6" a="1"/>
  <c r="AZ30" i="6" s="1"/>
  <c r="BN25" i="6" a="1"/>
  <c r="BN25" i="6" s="1"/>
  <c r="BM25" i="6" a="1"/>
  <c r="BM25" i="6" s="1"/>
  <c r="BL25" i="6" a="1"/>
  <c r="BL25" i="6" s="1"/>
  <c r="BK25" i="6" a="1"/>
  <c r="BK25" i="6" s="1"/>
  <c r="BJ25" i="6" a="1"/>
  <c r="BJ25" i="6" s="1"/>
  <c r="BI25" i="6"/>
  <c r="BI25" i="6" a="1"/>
  <c r="BH25" i="6" a="1"/>
  <c r="BH25" i="6" s="1"/>
  <c r="BF25" i="6" a="1"/>
  <c r="BF25" i="6" s="1"/>
  <c r="BE25" i="6" a="1"/>
  <c r="BE25" i="6" s="1"/>
  <c r="BD25" i="6" a="1"/>
  <c r="BD25" i="6" s="1"/>
  <c r="BC25" i="6" a="1"/>
  <c r="BC25" i="6" s="1"/>
  <c r="BB25" i="6"/>
  <c r="BB25" i="6" a="1"/>
  <c r="BA25" i="6" a="1"/>
  <c r="BA25" i="6" s="1"/>
  <c r="AZ25" i="6" a="1"/>
  <c r="AZ25" i="6" s="1"/>
  <c r="BN20" i="6" a="1"/>
  <c r="BN20" i="6" s="1"/>
  <c r="BM20" i="6" a="1"/>
  <c r="BM20" i="6" s="1"/>
  <c r="BL20" i="6" a="1"/>
  <c r="BL20" i="6" s="1"/>
  <c r="BK20" i="6"/>
  <c r="BK20" i="6" a="1"/>
  <c r="BJ20" i="6" a="1"/>
  <c r="BJ20" i="6" s="1"/>
  <c r="BI20" i="6" a="1"/>
  <c r="BI20" i="6" s="1"/>
  <c r="BH20" i="6" a="1"/>
  <c r="BH20" i="6" s="1"/>
  <c r="BF20" i="6" a="1"/>
  <c r="BF20" i="6" s="1"/>
  <c r="BE20" i="6" a="1"/>
  <c r="BE20" i="6" s="1"/>
  <c r="BD20" i="6" a="1"/>
  <c r="BD20" i="6" s="1"/>
  <c r="BC20" i="6" a="1"/>
  <c r="BC20" i="6" s="1"/>
  <c r="BB20" i="6" a="1"/>
  <c r="BB20" i="6" s="1"/>
  <c r="BA20" i="6" a="1"/>
  <c r="BA20" i="6" s="1"/>
  <c r="AZ20" i="6" a="1"/>
  <c r="AZ20" i="6" s="1"/>
  <c r="BN15" i="6" a="1"/>
  <c r="BN15" i="6" s="1"/>
  <c r="BM15" i="6"/>
  <c r="BM15" i="6" a="1"/>
  <c r="BL15" i="6" a="1"/>
  <c r="BL15" i="6" s="1"/>
  <c r="BK15" i="6" a="1"/>
  <c r="BK15" i="6" s="1"/>
  <c r="BJ15" i="6" a="1"/>
  <c r="BJ15" i="6" s="1"/>
  <c r="BI15" i="6" a="1"/>
  <c r="BI15" i="6" s="1"/>
  <c r="BH15" i="6" a="1"/>
  <c r="BH15" i="6" s="1"/>
  <c r="BF15" i="6" a="1"/>
  <c r="BF15" i="6" s="1"/>
  <c r="BE15" i="6" a="1"/>
  <c r="BE15" i="6" s="1"/>
  <c r="BD15" i="6" a="1"/>
  <c r="BD15" i="6" s="1"/>
  <c r="BC15" i="6" a="1"/>
  <c r="BC15" i="6" s="1"/>
  <c r="BB15" i="6" a="1"/>
  <c r="BB15" i="6" s="1"/>
  <c r="BA15" i="6" a="1"/>
  <c r="BA15" i="6" s="1"/>
  <c r="AZ15" i="6" a="1"/>
  <c r="AZ15" i="6" s="1"/>
  <c r="BN10" i="6" a="1"/>
  <c r="BN10" i="6" s="1"/>
  <c r="BM10" i="6" a="1"/>
  <c r="BM10" i="6" s="1"/>
  <c r="BL10" i="6" a="1"/>
  <c r="BL10" i="6" s="1"/>
  <c r="BK10" i="6" a="1"/>
  <c r="BK10" i="6" s="1"/>
  <c r="BJ10" i="6" a="1"/>
  <c r="BJ10" i="6" s="1"/>
  <c r="BI10" i="6" a="1"/>
  <c r="BI10" i="6" s="1"/>
  <c r="BH10" i="6" a="1"/>
  <c r="BH10" i="6" s="1"/>
  <c r="BF10" i="6" a="1"/>
  <c r="BF10" i="6" s="1"/>
  <c r="BE10" i="6" a="1"/>
  <c r="BE10" i="6" s="1"/>
  <c r="BD10" i="6" a="1"/>
  <c r="BD10" i="6" s="1"/>
  <c r="BC10" i="6" a="1"/>
  <c r="BC10" i="6" s="1"/>
  <c r="BB10" i="6" a="1"/>
  <c r="BB10" i="6" s="1"/>
  <c r="BA10" i="6" a="1"/>
  <c r="BA10" i="6" s="1"/>
  <c r="AZ10" i="6" a="1"/>
  <c r="AZ10" i="6" s="1"/>
  <c r="BN5" i="6" a="1"/>
  <c r="BN5" i="6" s="1"/>
  <c r="BM5" i="6" a="1"/>
  <c r="BM5" i="6" s="1"/>
  <c r="BL5" i="6" a="1"/>
  <c r="BL5" i="6" s="1"/>
  <c r="BK5" i="6" a="1"/>
  <c r="BK5" i="6" s="1"/>
  <c r="BJ5" i="6" a="1"/>
  <c r="BJ5" i="6" s="1"/>
  <c r="BI5" i="6" a="1"/>
  <c r="BI5" i="6" s="1"/>
  <c r="BH5" i="6" a="1"/>
  <c r="BH5" i="6" s="1"/>
  <c r="BF5" i="6" a="1"/>
  <c r="BF5" i="6" s="1"/>
  <c r="BE5" i="6" a="1"/>
  <c r="BE5" i="6" s="1"/>
  <c r="BD5" i="6" a="1"/>
  <c r="BD5" i="6" s="1"/>
  <c r="BC5" i="6" a="1"/>
  <c r="BC5" i="6" s="1"/>
  <c r="BB5" i="6" a="1"/>
  <c r="BB5" i="6" s="1"/>
  <c r="BA5" i="6" a="1"/>
  <c r="BA5" i="6" s="1"/>
  <c r="AZ5" i="6" a="1"/>
  <c r="AZ5" i="6" s="1"/>
  <c r="BT44" i="5" l="1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47" i="5" s="1"/>
  <c r="BT25" i="5"/>
  <c r="BT24" i="5"/>
  <c r="BT23" i="5"/>
  <c r="BT22" i="5"/>
  <c r="BT46" i="5" s="1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8" i="5" s="1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47" i="6" s="1"/>
  <c r="BT25" i="6"/>
  <c r="BT24" i="6"/>
  <c r="BT23" i="6"/>
  <c r="BT22" i="6"/>
  <c r="BT21" i="6"/>
  <c r="BT20" i="6"/>
  <c r="BT19" i="6"/>
  <c r="BT18" i="6"/>
  <c r="BT17" i="6"/>
  <c r="BT16" i="6"/>
  <c r="BT15" i="6"/>
  <c r="BT46" i="6" s="1"/>
  <c r="BT14" i="6"/>
  <c r="BT13" i="6"/>
  <c r="BT12" i="6"/>
  <c r="BT11" i="6"/>
  <c r="BT10" i="6"/>
  <c r="BT9" i="6"/>
  <c r="BT8" i="6"/>
  <c r="BT7" i="6"/>
  <c r="BT6" i="6"/>
  <c r="BT5" i="6"/>
  <c r="BT48" i="6" s="1"/>
  <c r="BF40" i="5" a="1"/>
  <c r="BF40" i="5" s="1"/>
  <c r="BE40" i="5" a="1"/>
  <c r="BE40" i="5" s="1"/>
  <c r="BD40" i="5" a="1"/>
  <c r="BD40" i="5" s="1"/>
  <c r="BC40" i="5" a="1"/>
  <c r="BC40" i="5" s="1"/>
  <c r="BB40" i="5" a="1"/>
  <c r="BB40" i="5" s="1"/>
  <c r="BA40" i="5" a="1"/>
  <c r="BA40" i="5" s="1"/>
  <c r="AZ40" i="5" a="1"/>
  <c r="AZ40" i="5" s="1"/>
  <c r="BF35" i="5" a="1"/>
  <c r="BF35" i="5" s="1"/>
  <c r="BE35" i="5" a="1"/>
  <c r="BE35" i="5" s="1"/>
  <c r="BD35" i="5" a="1"/>
  <c r="BD35" i="5" s="1"/>
  <c r="BC35" i="5" a="1"/>
  <c r="BC35" i="5" s="1"/>
  <c r="BB35" i="5" a="1"/>
  <c r="BB35" i="5" s="1"/>
  <c r="BA35" i="5" a="1"/>
  <c r="BA35" i="5" s="1"/>
  <c r="AZ35" i="5" a="1"/>
  <c r="AZ35" i="5" s="1"/>
  <c r="BF30" i="5" a="1"/>
  <c r="BF30" i="5" s="1"/>
  <c r="BE30" i="5" a="1"/>
  <c r="BE30" i="5" s="1"/>
  <c r="BD30" i="5" a="1"/>
  <c r="BD30" i="5" s="1"/>
  <c r="BC30" i="5" a="1"/>
  <c r="BC30" i="5" s="1"/>
  <c r="BB30" i="5" a="1"/>
  <c r="BB30" i="5" s="1"/>
  <c r="BA30" i="5" a="1"/>
  <c r="BA30" i="5" s="1"/>
  <c r="AZ30" i="5" a="1"/>
  <c r="AZ30" i="5" s="1"/>
  <c r="BF25" i="5" a="1"/>
  <c r="BF25" i="5" s="1"/>
  <c r="BE25" i="5" a="1"/>
  <c r="BE25" i="5" s="1"/>
  <c r="BD25" i="5" a="1"/>
  <c r="BD25" i="5" s="1"/>
  <c r="BC25" i="5" a="1"/>
  <c r="BC25" i="5" s="1"/>
  <c r="BB25" i="5" a="1"/>
  <c r="BB25" i="5" s="1"/>
  <c r="BA25" i="5" a="1"/>
  <c r="BA25" i="5" s="1"/>
  <c r="AZ25" i="5" a="1"/>
  <c r="AZ25" i="5" s="1"/>
  <c r="BF20" i="5" a="1"/>
  <c r="BF20" i="5" s="1"/>
  <c r="BE20" i="5" a="1"/>
  <c r="BE20" i="5" s="1"/>
  <c r="BD20" i="5" a="1"/>
  <c r="BD20" i="5" s="1"/>
  <c r="BC20" i="5" a="1"/>
  <c r="BC20" i="5" s="1"/>
  <c r="BB20" i="5" a="1"/>
  <c r="BB20" i="5" s="1"/>
  <c r="BA20" i="5" a="1"/>
  <c r="BA20" i="5" s="1"/>
  <c r="AZ20" i="5" a="1"/>
  <c r="AZ20" i="5" s="1"/>
  <c r="BF15" i="5" a="1"/>
  <c r="BF15" i="5" s="1"/>
  <c r="BE15" i="5" a="1"/>
  <c r="BE15" i="5" s="1"/>
  <c r="BD15" i="5" a="1"/>
  <c r="BD15" i="5" s="1"/>
  <c r="BC15" i="5" a="1"/>
  <c r="BC15" i="5" s="1"/>
  <c r="BB15" i="5" a="1"/>
  <c r="BB15" i="5" s="1"/>
  <c r="BA15" i="5" a="1"/>
  <c r="BA15" i="5" s="1"/>
  <c r="AZ15" i="5" a="1"/>
  <c r="AZ15" i="5" s="1"/>
  <c r="BF10" i="5" a="1"/>
  <c r="BF10" i="5" s="1"/>
  <c r="BE10" i="5" a="1"/>
  <c r="BE10" i="5" s="1"/>
  <c r="BD10" i="5" a="1"/>
  <c r="BD10" i="5" s="1"/>
  <c r="BC10" i="5" a="1"/>
  <c r="BC10" i="5" s="1"/>
  <c r="BB10" i="5" a="1"/>
  <c r="BB10" i="5" s="1"/>
  <c r="BA10" i="5" a="1"/>
  <c r="BA10" i="5" s="1"/>
  <c r="AZ10" i="5" a="1"/>
  <c r="AZ10" i="5" s="1"/>
  <c r="BF5" i="5" a="1"/>
  <c r="BF5" i="5" s="1"/>
  <c r="BE5" i="5" a="1"/>
  <c r="BE5" i="5" s="1"/>
  <c r="BD5" i="5" a="1"/>
  <c r="BD5" i="5" s="1"/>
  <c r="BC5" i="5" a="1"/>
  <c r="BC5" i="5" s="1"/>
  <c r="BB5" i="5" a="1"/>
  <c r="BB5" i="5" s="1"/>
  <c r="BA5" i="5" a="1"/>
  <c r="BA5" i="5" s="1"/>
  <c r="AZ5" i="5" a="1"/>
  <c r="AZ5" i="5" s="1"/>
  <c r="BN40" i="5" a="1"/>
  <c r="BN40" i="5" s="1"/>
  <c r="BL40" i="5" a="1"/>
  <c r="BL40" i="5" s="1"/>
  <c r="BK40" i="5"/>
  <c r="BK40" i="5" a="1"/>
  <c r="BJ40" i="5" a="1"/>
  <c r="BJ40" i="5" s="1"/>
  <c r="BN35" i="5" a="1"/>
  <c r="BN35" i="5" s="1"/>
  <c r="BL35" i="5"/>
  <c r="BL35" i="5" a="1"/>
  <c r="BK35" i="5" a="1"/>
  <c r="BK35" i="5" s="1"/>
  <c r="BJ35" i="5" a="1"/>
  <c r="BJ35" i="5" s="1"/>
  <c r="BN30" i="5" a="1"/>
  <c r="BN30" i="5" s="1"/>
  <c r="BL30" i="5" a="1"/>
  <c r="BL30" i="5" s="1"/>
  <c r="BK30" i="5" a="1"/>
  <c r="BK30" i="5" s="1"/>
  <c r="BJ30" i="5" a="1"/>
  <c r="BJ30" i="5" s="1"/>
  <c r="BN25" i="5"/>
  <c r="BN25" i="5" a="1"/>
  <c r="BL25" i="5" a="1"/>
  <c r="BL25" i="5" s="1"/>
  <c r="BK25" i="5" a="1"/>
  <c r="BK25" i="5" s="1"/>
  <c r="BK47" i="5" s="1"/>
  <c r="BJ25" i="5" a="1"/>
  <c r="BJ25" i="5" s="1"/>
  <c r="BJ47" i="5" s="1"/>
  <c r="BN20" i="5" a="1"/>
  <c r="BN20" i="5" s="1"/>
  <c r="BL20" i="5" a="1"/>
  <c r="BL20" i="5" s="1"/>
  <c r="BK20" i="5" a="1"/>
  <c r="BK20" i="5" s="1"/>
  <c r="BJ20" i="5" a="1"/>
  <c r="BJ20" i="5" s="1"/>
  <c r="BN15" i="5" a="1"/>
  <c r="BN15" i="5" s="1"/>
  <c r="BN46" i="5" s="1"/>
  <c r="BL15" i="5" a="1"/>
  <c r="BL15" i="5" s="1"/>
  <c r="BK15" i="5" a="1"/>
  <c r="BK15" i="5" s="1"/>
  <c r="BJ15" i="5" a="1"/>
  <c r="BJ15" i="5" s="1"/>
  <c r="BN10" i="5" a="1"/>
  <c r="BN10" i="5" s="1"/>
  <c r="BL10" i="5" a="1"/>
  <c r="BL10" i="5" s="1"/>
  <c r="BK10" i="5" a="1"/>
  <c r="BK10" i="5" s="1"/>
  <c r="BJ10" i="5" a="1"/>
  <c r="BJ10" i="5" s="1"/>
  <c r="BN5" i="5" a="1"/>
  <c r="BN5" i="5" s="1"/>
  <c r="BL5" i="5" a="1"/>
  <c r="BL5" i="5" s="1"/>
  <c r="BK5" i="5" a="1"/>
  <c r="BK5" i="5" s="1"/>
  <c r="BJ5" i="5" a="1"/>
  <c r="BJ5" i="5" s="1"/>
  <c r="BN47" i="6"/>
  <c r="BL46" i="6"/>
  <c r="BK46" i="6"/>
  <c r="BJ46" i="6"/>
  <c r="BT45" i="5" l="1"/>
  <c r="BT45" i="6"/>
  <c r="BN46" i="6"/>
  <c r="BL47" i="5"/>
  <c r="BN48" i="5"/>
  <c r="BN45" i="5"/>
  <c r="BJ46" i="5"/>
  <c r="BN47" i="5"/>
  <c r="BJ45" i="5"/>
  <c r="BJ48" i="5"/>
  <c r="BK45" i="5"/>
  <c r="BK48" i="5"/>
  <c r="BL48" i="5"/>
  <c r="BL45" i="5"/>
  <c r="BK46" i="5"/>
  <c r="BL46" i="5"/>
  <c r="BN48" i="6"/>
  <c r="BN45" i="6"/>
  <c r="BJ45" i="6"/>
  <c r="BJ48" i="6"/>
  <c r="BL48" i="6"/>
  <c r="BL45" i="6"/>
  <c r="BK47" i="6"/>
  <c r="BK45" i="6"/>
  <c r="BK48" i="6"/>
  <c r="BJ47" i="6"/>
  <c r="BL47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BI5" i="5" l="1" a="1"/>
  <c r="BI5" i="5" s="1"/>
  <c r="BH5" i="5" a="1"/>
  <c r="BH5" i="5" s="1"/>
  <c r="BM5" i="5" a="1"/>
  <c r="BM5" i="5" s="1"/>
  <c r="BI15" i="5" a="1"/>
  <c r="BI15" i="5" s="1"/>
  <c r="BI46" i="5" s="1"/>
  <c r="BH15" i="5" a="1"/>
  <c r="BH15" i="5" s="1"/>
  <c r="BM15" i="5" a="1"/>
  <c r="BM15" i="5" s="1"/>
  <c r="BM46" i="5" s="1"/>
  <c r="BM25" i="5" a="1"/>
  <c r="BM25" i="5" s="1"/>
  <c r="BM47" i="5" s="1"/>
  <c r="BI25" i="5" a="1"/>
  <c r="BI25" i="5" s="1"/>
  <c r="BH25" i="5" a="1"/>
  <c r="BH25" i="5" s="1"/>
  <c r="BI35" i="5" a="1"/>
  <c r="BI35" i="5" s="1"/>
  <c r="BH35" i="5" a="1"/>
  <c r="BH35" i="5" s="1"/>
  <c r="BM35" i="5" a="1"/>
  <c r="BM35" i="5" s="1"/>
  <c r="BI10" i="5" a="1"/>
  <c r="BI10" i="5" s="1"/>
  <c r="BH10" i="5" a="1"/>
  <c r="BH10" i="5" s="1"/>
  <c r="BM10" i="5" a="1"/>
  <c r="BM10" i="5" s="1"/>
  <c r="BH20" i="5" a="1"/>
  <c r="BH20" i="5" s="1"/>
  <c r="BM20" i="5" a="1"/>
  <c r="BM20" i="5" s="1"/>
  <c r="BI20" i="5" a="1"/>
  <c r="BI20" i="5" s="1"/>
  <c r="BI30" i="5" a="1"/>
  <c r="BI30" i="5" s="1"/>
  <c r="BH30" i="5" a="1"/>
  <c r="BH30" i="5" s="1"/>
  <c r="BM30" i="5" a="1"/>
  <c r="BM30" i="5" s="1"/>
  <c r="BI40" i="5" a="1"/>
  <c r="BI40" i="5" s="1"/>
  <c r="BH40" i="5" a="1"/>
  <c r="BH40" i="5" s="1"/>
  <c r="BM40" i="5" a="1"/>
  <c r="BM40" i="5" s="1"/>
  <c r="BH46" i="6"/>
  <c r="A17" i="7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W49" i="6"/>
  <c r="AC49" i="6"/>
  <c r="AB49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W49" i="5"/>
  <c r="AC49" i="5"/>
  <c r="AB49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AE1" i="5"/>
  <c r="J1" i="5"/>
  <c r="T17" i="3"/>
  <c r="S17" i="3"/>
  <c r="M17" i="3"/>
  <c r="L17" i="3"/>
  <c r="X12" i="3"/>
  <c r="P12" i="3"/>
  <c r="V12" i="3" s="1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V8" i="3" s="1"/>
  <c r="O8" i="3"/>
  <c r="I8" i="3"/>
  <c r="H8" i="3"/>
  <c r="X7" i="3"/>
  <c r="P7" i="3"/>
  <c r="V7" i="3" s="1"/>
  <c r="O7" i="3"/>
  <c r="I7" i="3"/>
  <c r="I14" i="3" s="1"/>
  <c r="H7" i="3"/>
  <c r="X6" i="3"/>
  <c r="P6" i="3"/>
  <c r="V6" i="3" s="1"/>
  <c r="O6" i="3"/>
  <c r="I6" i="3"/>
  <c r="H6" i="3"/>
  <c r="X5" i="3"/>
  <c r="P5" i="3"/>
  <c r="O5" i="3"/>
  <c r="I5" i="3"/>
  <c r="I16" i="3" s="1"/>
  <c r="H5" i="3"/>
  <c r="BI47" i="5" l="1"/>
  <c r="BH46" i="5"/>
  <c r="D5" i="7"/>
  <c r="C5" i="7"/>
  <c r="D6" i="7"/>
  <c r="BM48" i="5"/>
  <c r="BM45" i="5"/>
  <c r="BH45" i="5"/>
  <c r="BH48" i="5"/>
  <c r="BI45" i="5"/>
  <c r="BI48" i="5"/>
  <c r="BH47" i="5"/>
  <c r="J9" i="7"/>
  <c r="K11" i="7"/>
  <c r="BM46" i="6"/>
  <c r="BI46" i="6"/>
  <c r="K5" i="7"/>
  <c r="J10" i="7"/>
  <c r="K10" i="7"/>
  <c r="J6" i="7"/>
  <c r="K6" i="7"/>
  <c r="BM48" i="6"/>
  <c r="BM45" i="6"/>
  <c r="BI47" i="6"/>
  <c r="BH45" i="6"/>
  <c r="BH48" i="6"/>
  <c r="BH47" i="6"/>
  <c r="BI45" i="6"/>
  <c r="BI48" i="6"/>
  <c r="BM47" i="6"/>
  <c r="K7" i="7"/>
  <c r="J7" i="7"/>
  <c r="K8" i="7"/>
  <c r="P14" i="3"/>
  <c r="V14" i="3" s="1"/>
  <c r="C10" i="1" s="1"/>
  <c r="X14" i="3"/>
  <c r="P16" i="3"/>
  <c r="V16" i="3" s="1"/>
  <c r="C12" i="1" s="1"/>
  <c r="T18" i="3"/>
  <c r="C14" i="1" s="1"/>
  <c r="P15" i="3"/>
  <c r="X15" i="3"/>
  <c r="X16" i="3"/>
  <c r="V10" i="3"/>
  <c r="S18" i="3"/>
  <c r="C13" i="1" s="1"/>
  <c r="I15" i="3"/>
  <c r="V11" i="3"/>
  <c r="BR46" i="5"/>
  <c r="K45" i="5"/>
  <c r="BS46" i="5"/>
  <c r="AF45" i="5"/>
  <c r="AX50" i="5"/>
  <c r="C24" i="1" s="1"/>
  <c r="C17" i="7" s="1"/>
  <c r="AW50" i="5"/>
  <c r="C23" i="1" s="1"/>
  <c r="C16" i="7" s="1"/>
  <c r="BP45" i="6"/>
  <c r="E4" i="7"/>
  <c r="D4" i="7"/>
  <c r="BP47" i="5"/>
  <c r="BQ46" i="5"/>
  <c r="BP48" i="5"/>
  <c r="BR45" i="5"/>
  <c r="BR47" i="5"/>
  <c r="BQ48" i="5"/>
  <c r="BS48" i="5"/>
  <c r="AF47" i="5"/>
  <c r="BP45" i="5"/>
  <c r="K46" i="5"/>
  <c r="BQ47" i="5"/>
  <c r="BR48" i="5"/>
  <c r="AF46" i="5"/>
  <c r="BS47" i="5"/>
  <c r="BP46" i="5"/>
  <c r="K47" i="5"/>
  <c r="AW50" i="6"/>
  <c r="C35" i="1" s="1"/>
  <c r="J16" i="7" s="1"/>
  <c r="AX50" i="6"/>
  <c r="C36" i="1" s="1"/>
  <c r="J17" i="7" s="1"/>
  <c r="K48" i="6"/>
  <c r="BR46" i="6"/>
  <c r="AF48" i="6"/>
  <c r="K47" i="6"/>
  <c r="K46" i="6"/>
  <c r="BQ47" i="6"/>
  <c r="BR47" i="6"/>
  <c r="BQ46" i="6"/>
  <c r="BQ45" i="6"/>
  <c r="BR45" i="6"/>
  <c r="BS48" i="6"/>
  <c r="BS46" i="6"/>
  <c r="AF47" i="6"/>
  <c r="BP47" i="6"/>
  <c r="BQ48" i="6"/>
  <c r="AF45" i="6"/>
  <c r="AF46" i="6"/>
  <c r="BS47" i="6"/>
  <c r="BP46" i="6"/>
  <c r="E8" i="7"/>
  <c r="C7" i="7"/>
  <c r="D8" i="7"/>
  <c r="E9" i="7"/>
  <c r="F10" i="7"/>
  <c r="G11" i="7"/>
  <c r="N5" i="7"/>
  <c r="O6" i="7"/>
  <c r="P7" i="7"/>
  <c r="D7" i="7"/>
  <c r="E7" i="7"/>
  <c r="F8" i="7"/>
  <c r="G9" i="7"/>
  <c r="H10" i="7"/>
  <c r="I11" i="7"/>
  <c r="O4" i="7"/>
  <c r="P5" i="7"/>
  <c r="J11" i="7"/>
  <c r="E6" i="7"/>
  <c r="F7" i="7"/>
  <c r="G8" i="7"/>
  <c r="H9" i="7"/>
  <c r="I10" i="7"/>
  <c r="E5" i="7"/>
  <c r="G7" i="7"/>
  <c r="H8" i="7"/>
  <c r="I9" i="7"/>
  <c r="L11" i="7"/>
  <c r="F9" i="7"/>
  <c r="F5" i="7"/>
  <c r="G6" i="7"/>
  <c r="H7" i="7"/>
  <c r="I8" i="7"/>
  <c r="J8" i="7"/>
  <c r="K9" i="7"/>
  <c r="L10" i="7"/>
  <c r="M11" i="7"/>
  <c r="F4" i="7"/>
  <c r="G5" i="7"/>
  <c r="H6" i="7"/>
  <c r="I7" i="7"/>
  <c r="L9" i="7"/>
  <c r="M10" i="7"/>
  <c r="N11" i="7"/>
  <c r="P6" i="7"/>
  <c r="H5" i="7"/>
  <c r="L8" i="7"/>
  <c r="M9" i="7"/>
  <c r="N10" i="7"/>
  <c r="O11" i="7"/>
  <c r="C6" i="7"/>
  <c r="I5" i="7"/>
  <c r="C11" i="7"/>
  <c r="J5" i="7"/>
  <c r="L7" i="7"/>
  <c r="M8" i="7"/>
  <c r="N9" i="7"/>
  <c r="O10" i="7"/>
  <c r="P11" i="7"/>
  <c r="O5" i="7"/>
  <c r="I4" i="7"/>
  <c r="C10" i="7"/>
  <c r="D11" i="7"/>
  <c r="BB46" i="6"/>
  <c r="E32" i="1" s="1"/>
  <c r="L13" i="7" s="1"/>
  <c r="M7" i="7"/>
  <c r="O9" i="7"/>
  <c r="P10" i="7"/>
  <c r="H11" i="7"/>
  <c r="C9" i="7"/>
  <c r="D10" i="7"/>
  <c r="E11" i="7"/>
  <c r="L5" i="7"/>
  <c r="N7" i="7"/>
  <c r="P9" i="7"/>
  <c r="G10" i="7"/>
  <c r="H4" i="7"/>
  <c r="C8" i="7"/>
  <c r="D9" i="7"/>
  <c r="E10" i="7"/>
  <c r="F11" i="7"/>
  <c r="M5" i="7"/>
  <c r="N6" i="7"/>
  <c r="O7" i="7"/>
  <c r="P8" i="7"/>
  <c r="BF46" i="6"/>
  <c r="I32" i="1" s="1"/>
  <c r="P13" i="7" s="1"/>
  <c r="X13" i="3"/>
  <c r="K48" i="5"/>
  <c r="V5" i="3"/>
  <c r="V9" i="3"/>
  <c r="AF48" i="5"/>
  <c r="K45" i="6"/>
  <c r="BS45" i="6"/>
  <c r="BP48" i="6"/>
  <c r="BR48" i="6"/>
  <c r="BQ45" i="5"/>
  <c r="I13" i="3"/>
  <c r="BS45" i="5"/>
  <c r="P13" i="3"/>
  <c r="V13" i="3" s="1"/>
  <c r="C9" i="1" s="1"/>
  <c r="V15" i="3" l="1"/>
  <c r="C11" i="1" s="1"/>
  <c r="BF46" i="5"/>
  <c r="I20" i="1" s="1"/>
  <c r="I13" i="7" s="1"/>
  <c r="BC46" i="5"/>
  <c r="F20" i="1" s="1"/>
  <c r="F13" i="7" s="1"/>
  <c r="F6" i="7"/>
  <c r="BD45" i="5"/>
  <c r="G19" i="1" s="1"/>
  <c r="G12" i="7" s="1"/>
  <c r="AZ48" i="5"/>
  <c r="C22" i="1" s="1"/>
  <c r="C15" i="7" s="1"/>
  <c r="BD46" i="5"/>
  <c r="G20" i="1" s="1"/>
  <c r="G13" i="7" s="1"/>
  <c r="BA45" i="5"/>
  <c r="D19" i="1" s="1"/>
  <c r="D12" i="7" s="1"/>
  <c r="BB48" i="5"/>
  <c r="E22" i="1" s="1"/>
  <c r="E15" i="7" s="1"/>
  <c r="BE48" i="5"/>
  <c r="H22" i="1" s="1"/>
  <c r="H15" i="7" s="1"/>
  <c r="G4" i="7"/>
  <c r="BD47" i="5"/>
  <c r="G21" i="1" s="1"/>
  <c r="G14" i="7" s="1"/>
  <c r="BE47" i="5"/>
  <c r="H21" i="1" s="1"/>
  <c r="H14" i="7" s="1"/>
  <c r="AZ46" i="5"/>
  <c r="C20" i="1" s="1"/>
  <c r="C13" i="7" s="1"/>
  <c r="AZ45" i="5"/>
  <c r="C19" i="1" s="1"/>
  <c r="C12" i="7" s="1"/>
  <c r="I6" i="7"/>
  <c r="BF47" i="5"/>
  <c r="I21" i="1" s="1"/>
  <c r="I14" i="7" s="1"/>
  <c r="BD48" i="5"/>
  <c r="G22" i="1" s="1"/>
  <c r="G15" i="7" s="1"/>
  <c r="BB45" i="6"/>
  <c r="E31" i="1" s="1"/>
  <c r="L12" i="7" s="1"/>
  <c r="L4" i="7"/>
  <c r="BD45" i="6"/>
  <c r="G31" i="1" s="1"/>
  <c r="N12" i="7" s="1"/>
  <c r="BC48" i="6"/>
  <c r="F34" i="1" s="1"/>
  <c r="M15" i="7" s="1"/>
  <c r="N4" i="7"/>
  <c r="BE47" i="6"/>
  <c r="H33" i="1" s="1"/>
  <c r="O14" i="7" s="1"/>
  <c r="BF48" i="6"/>
  <c r="I34" i="1" s="1"/>
  <c r="P15" i="7" s="1"/>
  <c r="AZ46" i="6"/>
  <c r="C32" i="1" s="1"/>
  <c r="J13" i="7" s="1"/>
  <c r="M4" i="7"/>
  <c r="BD46" i="6"/>
  <c r="G32" i="1" s="1"/>
  <c r="N13" i="7" s="1"/>
  <c r="BF45" i="6"/>
  <c r="I31" i="1" s="1"/>
  <c r="P12" i="7" s="1"/>
  <c r="BD48" i="6"/>
  <c r="G34" i="1" s="1"/>
  <c r="N15" i="7" s="1"/>
  <c r="BE46" i="6"/>
  <c r="H32" i="1" s="1"/>
  <c r="O13" i="7" s="1"/>
  <c r="O8" i="7"/>
  <c r="BC47" i="6"/>
  <c r="F33" i="1" s="1"/>
  <c r="M14" i="7" s="1"/>
  <c r="BA47" i="6"/>
  <c r="D33" i="1" s="1"/>
  <c r="K14" i="7" s="1"/>
  <c r="BE48" i="6"/>
  <c r="H34" i="1" s="1"/>
  <c r="O15" i="7" s="1"/>
  <c r="BB47" i="6"/>
  <c r="E33" i="1" s="1"/>
  <c r="L14" i="7" s="1"/>
  <c r="BE45" i="6"/>
  <c r="H31" i="1" s="1"/>
  <c r="O12" i="7" s="1"/>
  <c r="BD47" i="6"/>
  <c r="G33" i="1" s="1"/>
  <c r="N14" i="7" s="1"/>
  <c r="L6" i="7"/>
  <c r="BC46" i="6"/>
  <c r="F32" i="1" s="1"/>
  <c r="M13" i="7" s="1"/>
  <c r="BA46" i="6"/>
  <c r="D32" i="1" s="1"/>
  <c r="K13" i="7" s="1"/>
  <c r="P4" i="7"/>
  <c r="BB47" i="5"/>
  <c r="E21" i="1" s="1"/>
  <c r="E14" i="7" s="1"/>
  <c r="AZ47" i="5"/>
  <c r="C21" i="1" s="1"/>
  <c r="C14" i="7" s="1"/>
  <c r="M6" i="7"/>
  <c r="N8" i="7"/>
  <c r="BA48" i="5"/>
  <c r="D22" i="1" s="1"/>
  <c r="D15" i="7" s="1"/>
  <c r="BE45" i="5"/>
  <c r="H19" i="1" s="1"/>
  <c r="H12" i="7" s="1"/>
  <c r="BE46" i="5"/>
  <c r="H20" i="1" s="1"/>
  <c r="H13" i="7" s="1"/>
  <c r="BC47" i="5"/>
  <c r="F21" i="1" s="1"/>
  <c r="F14" i="7" s="1"/>
  <c r="BB46" i="5"/>
  <c r="E20" i="1" s="1"/>
  <c r="E13" i="7" s="1"/>
  <c r="BF47" i="6"/>
  <c r="I33" i="1" s="1"/>
  <c r="P14" i="7" s="1"/>
  <c r="BF45" i="5"/>
  <c r="I19" i="1" s="1"/>
  <c r="I12" i="7" s="1"/>
  <c r="BC48" i="5"/>
  <c r="F22" i="1" s="1"/>
  <c r="F15" i="7" s="1"/>
  <c r="BA46" i="5"/>
  <c r="D20" i="1" s="1"/>
  <c r="D13" i="7" s="1"/>
  <c r="BF48" i="5"/>
  <c r="I22" i="1" s="1"/>
  <c r="I15" i="7" s="1"/>
  <c r="BC45" i="5"/>
  <c r="F19" i="1" s="1"/>
  <c r="F12" i="7" s="1"/>
  <c r="C4" i="7"/>
  <c r="BC45" i="6"/>
  <c r="F31" i="1" s="1"/>
  <c r="M12" i="7" s="1"/>
  <c r="BA47" i="5"/>
  <c r="D21" i="1" s="1"/>
  <c r="D14" i="7" s="1"/>
  <c r="AZ47" i="6"/>
  <c r="C33" i="1" s="1"/>
  <c r="J14" i="7" s="1"/>
  <c r="BB48" i="6"/>
  <c r="E34" i="1" s="1"/>
  <c r="L15" i="7" s="1"/>
  <c r="BB45" i="5"/>
  <c r="E19" i="1" s="1"/>
  <c r="E12" i="7" s="1"/>
  <c r="K4" i="7" l="1"/>
  <c r="BA48" i="6"/>
  <c r="D34" i="1" s="1"/>
  <c r="K15" i="7" s="1"/>
  <c r="BA45" i="6"/>
  <c r="D31" i="1" s="1"/>
  <c r="K12" i="7" s="1"/>
  <c r="J4" i="7"/>
  <c r="AZ48" i="6"/>
  <c r="C34" i="1" s="1"/>
  <c r="J15" i="7" s="1"/>
  <c r="AZ45" i="6"/>
  <c r="C31" i="1" s="1"/>
  <c r="J1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<sst xmlns="http://schemas.openxmlformats.org/spreadsheetml/2006/main" count="960" uniqueCount="431">
  <si>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</si>
  <si>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</si>
  <si>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</si>
  <si>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</si>
  <si>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</si>
  <si>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</si>
  <si>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</si>
  <si>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</si>
  <si>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</si>
  <si>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</si>
  <si>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</si>
  <si>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</si>
  <si>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</si>
  <si>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</si>
  <si>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</si>
  <si>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</si>
  <si>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</si>
  <si>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</si>
  <si>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</si>
  <si>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</si>
  <si>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</si>
  <si>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</si>
  <si>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</si>
  <si>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</si>
  <si>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</si>
  <si>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</si>
  <si>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</si>
  <si>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</si>
  <si>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</si>
  <si>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</si>
  <si>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</si>
  <si>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</si>
  <si>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</si>
  <si>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</si>
  <si>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</si>
  <si>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</si>
  <si>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</si>
  <si>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</si>
  <si>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</si>
  <si>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</si>
  <si>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</si>
  <si>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</si>
  <si>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</si>
  <si>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</si>
  <si>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</si>
  <si>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</si>
  <si>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</si>
  <si>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</si>
  <si>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</si>
  <si>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</si>
  <si>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</si>
  <si>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</si>
  <si>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</si>
  <si>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</si>
  <si>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</si>
  <si>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</si>
  <si>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</si>
  <si>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</si>
  <si>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</si>
  <si>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</si>
  <si>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</si>
  <si>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</si>
  <si>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</si>
  <si>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</si>
  <si>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</si>
  <si>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</si>
  <si>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</si>
  <si>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</si>
  <si>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</si>
  <si>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</si>
  <si>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</si>
  <si>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</si>
  <si>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</si>
  <si>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</si>
  <si>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</si>
  <si>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</si>
  <si>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</si>
  <si>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</si>
  <si>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</si>
  <si>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</si>
  <si>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</si>
  <si>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</si>
  <si>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</si>
  <si>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</si>
  <si>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</si>
  <si>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</si>
  <si>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</si>
  <si>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</si>
  <si>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</si>
  <si>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</si>
  <si>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</si>
  <si>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</si>
  <si>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</si>
  <si>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</si>
  <si>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</si>
  <si>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</si>
  <si>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</si>
  <si>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</si>
  <si>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</si>
  <si>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</si>
  <si>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</si>
  <si>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</si>
  <si>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</si>
  <si>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</si>
  <si>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</si>
  <si>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</si>
  <si>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</si>
  <si>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</si>
  <si>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</si>
  <si>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</si>
  <si>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</si>
  <si>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</si>
  <si>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</si>
  <si>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</si>
  <si>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</si>
  <si>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</si>
  <si>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</si>
  <si>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</si>
  <si>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</si>
  <si>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</si>
  <si>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</si>
  <si>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</si>
  <si>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</si>
  <si>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</si>
  <si>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</si>
  <si>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</si>
  <si>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</si>
  <si>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</si>
  <si>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</si>
  <si>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</si>
  <si>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</si>
  <si>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</si>
  <si>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</si>
  <si>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</si>
  <si>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</si>
  <si>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</si>
  <si>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</si>
  <si>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</si>
  <si>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</si>
  <si>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</si>
  <si>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</si>
  <si>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</si>
  <si>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</si>
  <si>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</si>
  <si>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</si>
  <si>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</si>
  <si>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</si>
  <si>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</si>
  <si>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</si>
  <si>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anchor</t>
  </si>
  <si>
    <t>proposal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</si>
  <si>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</si>
  <si>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</si>
  <si>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</si>
  <si>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</si>
  <si>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</si>
  <si>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</si>
  <si>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</si>
  <si>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</si>
  <si>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</si>
  <si>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</si>
  <si>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</si>
  <si>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</si>
  <si>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</si>
  <si>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</si>
  <si>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</si>
  <si>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</si>
  <si>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</si>
  <si>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</si>
  <si>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</si>
  <si>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</si>
  <si>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</si>
  <si>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</si>
  <si>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</si>
  <si>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</si>
  <si>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</si>
  <si>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</si>
  <si>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</si>
  <si>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</si>
  <si>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</si>
  <si>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</si>
  <si>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</si>
  <si>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</si>
  <si>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</si>
  <si>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</si>
  <si>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</si>
  <si>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</si>
  <si>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</si>
  <si>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</si>
  <si>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</si>
  <si>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</si>
  <si>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</si>
  <si>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</si>
  <si>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</si>
  <si>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</si>
  <si>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</si>
  <si>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</si>
  <si>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</si>
  <si>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</si>
  <si>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</si>
  <si>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</si>
  <si>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</si>
  <si>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</si>
  <si>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</si>
  <si>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</si>
  <si>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</si>
  <si>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</si>
  <si>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</si>
  <si>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</si>
  <si>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</si>
  <si>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</si>
  <si>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</si>
  <si>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</si>
  <si>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</si>
  <si>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</si>
  <si>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</si>
  <si>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</si>
  <si>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</si>
  <si>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</si>
  <si>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</si>
  <si>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</si>
  <si>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</si>
  <si>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</si>
  <si>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</si>
  <si>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</si>
  <si>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</si>
  <si>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</si>
  <si>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</si>
  <si>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</si>
  <si>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</si>
  <si>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</si>
  <si>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</si>
  <si>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</si>
  <si>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</si>
  <si>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</si>
  <si>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</si>
  <si>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</si>
  <si>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</si>
  <si>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</si>
  <si>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</si>
  <si>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</si>
  <si>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</si>
  <si>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</si>
  <si>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</si>
  <si>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</si>
  <si>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</si>
  <si>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</si>
  <si>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</si>
  <si>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</si>
  <si>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</si>
  <si>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</si>
  <si>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</si>
  <si>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</si>
  <si>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</si>
  <si>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</si>
  <si>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</si>
  <si>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</si>
  <si>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</si>
  <si>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</si>
  <si>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</si>
  <si>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</si>
  <si>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</si>
  <si>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</si>
  <si>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</si>
  <si>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</si>
  <si>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</si>
  <si>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</si>
  <si>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</si>
  <si>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</si>
  <si>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</si>
  <si>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</si>
  <si>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</si>
  <si>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</si>
  <si>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</si>
  <si>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</si>
  <si>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</si>
  <si>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</si>
  <si>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</si>
  <si>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</si>
  <si>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</si>
  <si>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</si>
  <si>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</si>
  <si>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</si>
  <si>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</si>
  <si>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</si>
  <si>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</si>
  <si>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</si>
  <si>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</si>
  <si>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</si>
  <si>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</si>
  <si>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</si>
  <si>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</si>
  <si>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</si>
  <si>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</si>
  <si>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</si>
  <si>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</si>
  <si>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</si>
  <si>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</si>
  <si>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</si>
  <si>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</si>
  <si>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</si>
  <si>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</si>
  <si>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</si>
  <si>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</si>
  <si>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</si>
  <si>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</si>
  <si>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</si>
  <si>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</si>
  <si>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</si>
  <si>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</si>
  <si>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</si>
  <si>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</si>
  <si>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</si>
  <si>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</si>
  <si>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</si>
  <si>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</si>
  <si>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</si>
  <si>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</si>
  <si>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</si>
  <si>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</si>
  <si>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</si>
  <si>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</si>
  <si>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</si>
  <si>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</si>
  <si>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</si>
  <si>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</si>
  <si>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</si>
  <si>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</si>
  <si>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</si>
  <si>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</si>
  <si>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</si>
  <si>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</si>
  <si>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</si>
  <si>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</si>
  <si>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</si>
  <si>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</si>
  <si>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</si>
  <si>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</si>
  <si>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</si>
  <si>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</si>
  <si>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</si>
  <si>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</si>
  <si>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</si>
  <si>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</si>
  <si>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</si>
  <si>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</si>
  <si>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</si>
  <si>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</si>
  <si>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</si>
  <si>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</si>
  <si>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</si>
  <si>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</si>
  <si>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</si>
  <si>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</si>
  <si>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</si>
  <si>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</si>
  <si>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</si>
  <si>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</si>
  <si>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</si>
  <si>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</si>
  <si>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</si>
  <si>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</si>
  <si>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</si>
  <si>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</si>
  <si>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</si>
  <si>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</si>
  <si>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</si>
  <si>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</si>
  <si>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</si>
  <si>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</si>
  <si>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</si>
  <si>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</si>
  <si>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</si>
  <si>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</si>
  <si>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</si>
  <si>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</si>
  <si>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names!$B$155:$S$155</t>
  </si>
  <si>
    <t>names!$B$91:$S$91</t>
  </si>
  <si>
    <t>'C2 lossy RA'!$AD$1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</si>
  <si>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</si>
  <si>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</si>
  <si>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</si>
  <si>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</si>
  <si>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</si>
  <si>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</si>
  <si>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</si>
  <si>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</si>
  <si>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AI'!$AD$1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</si>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</sst>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"/>
    <numFmt numFmtId="166" formatCode="[&gt;1000]0;[&gt;100]0.0;0.00"/>
    <numFmt numFmtId="167" formatCode="0.000000"/>
    <numFmt numFmtId="168" formatCode="0.00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64" fontId="0" fillId="8" borderId="11" xfId="0" applyNumberFormat="1" applyFill="1" applyBorder="1" applyAlignment="1">
      <alignment horizontal="center"/>
    </xf>
    <xf numFmtId="164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64" fontId="0" fillId="10" borderId="11" xfId="0" applyNumberFormat="1" applyFill="1" applyBorder="1" applyAlignment="1">
      <alignment horizontal="center"/>
    </xf>
    <xf numFmtId="164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64" fontId="0" fillId="10" borderId="9" xfId="0" applyNumberFormat="1" applyFill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164" fontId="0" fillId="14" borderId="0" xfId="0" applyNumberFormat="1" applyFill="1" applyAlignment="1">
      <alignment horizontal="center"/>
    </xf>
    <xf numFmtId="164" fontId="0" fillId="14" borderId="7" xfId="0" applyNumberFormat="1" applyFill="1" applyBorder="1" applyAlignment="1">
      <alignment horizontal="center"/>
    </xf>
    <xf numFmtId="164" fontId="0" fillId="14" borderId="2" xfId="0" applyNumberFormat="1" applyFill="1" applyBorder="1" applyAlignment="1">
      <alignment horizontal="center"/>
    </xf>
    <xf numFmtId="164" fontId="0" fillId="14" borderId="8" xfId="0" applyNumberFormat="1" applyFill="1" applyBorder="1" applyAlignment="1">
      <alignment horizontal="center"/>
    </xf>
    <xf numFmtId="164" fontId="0" fillId="15" borderId="0" xfId="0" applyNumberFormat="1" applyFill="1" applyAlignment="1">
      <alignment horizontal="center"/>
    </xf>
    <xf numFmtId="164" fontId="0" fillId="15" borderId="11" xfId="0" applyNumberFormat="1" applyFill="1" applyBorder="1" applyAlignment="1">
      <alignment horizontal="center"/>
    </xf>
    <xf numFmtId="164" fontId="0" fillId="15" borderId="12" xfId="0" applyNumberFormat="1" applyFill="1" applyBorder="1" applyAlignment="1">
      <alignment horizontal="center"/>
    </xf>
    <xf numFmtId="164" fontId="0" fillId="14" borderId="11" xfId="0" applyNumberFormat="1" applyFill="1" applyBorder="1" applyAlignment="1">
      <alignment horizontal="center"/>
    </xf>
    <xf numFmtId="164" fontId="0" fillId="14" borderId="12" xfId="0" applyNumberFormat="1" applyFill="1" applyBorder="1" applyAlignment="1">
      <alignment horizontal="center"/>
    </xf>
    <xf numFmtId="164" fontId="0" fillId="15" borderId="1" xfId="0" applyNumberFormat="1" applyFill="1" applyBorder="1" applyAlignment="1">
      <alignment horizontal="center"/>
    </xf>
    <xf numFmtId="164" fontId="0" fillId="15" borderId="5" xfId="0" applyNumberFormat="1" applyFill="1" applyBorder="1" applyAlignment="1">
      <alignment horizontal="center"/>
    </xf>
    <xf numFmtId="164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67" fontId="0" fillId="0" borderId="7" xfId="0" applyNumberFormat="1" applyBorder="1"/>
    <xf numFmtId="167" fontId="0" fillId="0" borderId="2" xfId="0" applyNumberFormat="1" applyBorder="1"/>
    <xf numFmtId="167" fontId="0" fillId="0" borderId="8" xfId="0" applyNumberFormat="1" applyBorder="1"/>
    <xf numFmtId="167" fontId="0" fillId="0" borderId="11" xfId="0" applyNumberFormat="1" applyBorder="1"/>
    <xf numFmtId="167" fontId="0" fillId="0" borderId="0" xfId="0" applyNumberFormat="1"/>
    <xf numFmtId="167" fontId="0" fillId="0" borderId="12" xfId="0" applyNumberFormat="1" applyBorder="1"/>
    <xf numFmtId="167" fontId="0" fillId="0" borderId="9" xfId="0" applyNumberFormat="1" applyBorder="1"/>
    <xf numFmtId="167" fontId="0" fillId="0" borderId="3" xfId="0" applyNumberFormat="1" applyBorder="1"/>
    <xf numFmtId="167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68" fontId="0" fillId="8" borderId="0" xfId="0" applyNumberFormat="1" applyFill="1" applyAlignment="1">
      <alignment horizontal="center"/>
    </xf>
    <xf numFmtId="168" fontId="0" fillId="10" borderId="0" xfId="0" applyNumberFormat="1" applyFill="1" applyAlignment="1">
      <alignment horizontal="center"/>
    </xf>
    <xf numFmtId="168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 wrapText="1"/>
    </xf>
  </cellXfs>
  <cellStyles count="1">
    <cellStyle name="Normal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tabSelected="1" zoomScale="90" zoomScaleNormal="90" workbookViewId="0">
      <selection activeCell="C1" sqref="C1:E1"/>
    </sheetView>
  </sheetViews>
  <sheetFormatPr defaultColWidth="9.140625" defaultRowHeight="15" x14ac:dyDescent="0.25"/>
  <cols>
    <col min="2" max="2" width="16.7109375" customWidth="1"/>
    <col min="3" max="9" width="24.7109375" customWidth="1"/>
  </cols>
  <sheetData>
    <row r="1" spans="2:9" x14ac:dyDescent="0.25">
      <c r="B1" t="s">
        <v>0</v>
      </c>
      <c r="C1" s="114" t="s">
        <v>149</v>
      </c>
      <c r="D1" s="114"/>
      <c r="E1" s="114"/>
    </row>
    <row r="2" spans="2:9" x14ac:dyDescent="0.25">
      <c r="B2" t="s">
        <v>1</v>
      </c>
      <c r="C2" s="115" t="s">
        <v>150</v>
      </c>
      <c r="D2" s="115"/>
      <c r="E2" s="115"/>
    </row>
    <row r="4" spans="2:9" s="1" customFormat="1" x14ac:dyDescent="0.25">
      <c r="B4" s="1" t="s">
        <v>2</v>
      </c>
    </row>
    <row r="6" spans="2:9" ht="45" customHeight="1" x14ac:dyDescent="0.25">
      <c r="B6" s="109" t="s">
        <v>3</v>
      </c>
      <c r="C6" s="2" t="s">
        <v>4</v>
      </c>
    </row>
    <row r="7" spans="2:9" x14ac:dyDescent="0.25">
      <c r="B7" s="106"/>
      <c r="C7" s="3" t="s">
        <v>5</v>
      </c>
    </row>
    <row r="8" spans="2:9" x14ac:dyDescent="0.25">
      <c r="B8" s="108"/>
      <c r="C8" s="4" t="s">
        <v>6</v>
      </c>
    </row>
    <row r="9" spans="2:9" x14ac:dyDescent="0.25">
      <c r="B9" t="s">
        <v>7</v>
      </c>
      <c r="C9" s="5" t="e">
        <f>'C0 lossless AI'!V13</f>
        <v>#DIV/0!</v>
      </c>
    </row>
    <row r="10" spans="2:9" x14ac:dyDescent="0.25">
      <c r="B10" t="s">
        <v>8</v>
      </c>
      <c r="C10" s="5" t="e">
        <f>'C0 lossless AI'!V14</f>
        <v>#DIV/0!</v>
      </c>
    </row>
    <row r="11" spans="2:9" x14ac:dyDescent="0.25">
      <c r="B11" t="s">
        <v>9</v>
      </c>
      <c r="C11" s="5" t="e">
        <f>'C0 lossless AI'!V15</f>
        <v>#DIV/0!</v>
      </c>
    </row>
    <row r="12" spans="2:9" x14ac:dyDescent="0.25">
      <c r="B12" s="6" t="s">
        <v>10</v>
      </c>
      <c r="C12" s="7" t="e">
        <f>'C0 lossless AI'!V16</f>
        <v>#DIV/0!</v>
      </c>
    </row>
    <row r="13" spans="2:9" x14ac:dyDescent="0.25">
      <c r="B13" t="s">
        <v>11</v>
      </c>
      <c r="C13" s="8" t="e">
        <f>'C0 lossless AI'!S18</f>
        <v>#DIV/0!</v>
      </c>
    </row>
    <row r="14" spans="2:9" x14ac:dyDescent="0.25">
      <c r="B14" s="9" t="s">
        <v>12</v>
      </c>
      <c r="C14" s="10" t="e">
        <f>'C0 lossless AI'!T18</f>
        <v>#DIV/0!</v>
      </c>
    </row>
    <row r="16" spans="2:9" x14ac:dyDescent="0.25">
      <c r="B16" s="109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25">
      <c r="B17" s="106"/>
      <c r="C17" s="112" t="s">
        <v>15</v>
      </c>
      <c r="D17" s="106"/>
      <c r="E17" s="106"/>
      <c r="F17" s="106"/>
      <c r="G17" s="106"/>
      <c r="H17" s="113" t="s">
        <v>16</v>
      </c>
      <c r="I17" s="106"/>
    </row>
    <row r="18" spans="2:9" x14ac:dyDescent="0.25">
      <c r="B18" s="108"/>
      <c r="C18" s="4" t="s">
        <v>17</v>
      </c>
      <c r="D18" s="4" t="s">
        <v>18</v>
      </c>
      <c r="E18" s="4" t="s">
        <v>19</v>
      </c>
      <c r="F18" s="4" t="s">
        <v>20</v>
      </c>
      <c r="G18" s="4" t="s">
        <v>21</v>
      </c>
      <c r="H18" s="11" t="s">
        <v>22</v>
      </c>
      <c r="I18" s="11" t="s">
        <v>19</v>
      </c>
    </row>
    <row r="19" spans="2:9" x14ac:dyDescent="0.25">
      <c r="B19" t="s">
        <v>7</v>
      </c>
      <c r="C19" s="5" t="e">
        <f>'C1 lossy AI'!$AZ$45:$AZ$45</f>
        <v>#DIV/0!</v>
      </c>
      <c r="D19" s="5" t="e">
        <f>'C1 lossy AI'!$BA$45:$BA$45</f>
        <v>#DIV/0!</v>
      </c>
      <c r="E19" s="5" t="e">
        <f>'C1 lossy AI'!$BB$45:$BB$45</f>
        <v>#DIV/0!</v>
      </c>
      <c r="F19" s="5" t="e">
        <f>'C1 lossy AI'!$BC$45:$BC$45</f>
        <v>#DIV/0!</v>
      </c>
      <c r="G19" s="5" t="e">
        <f>'C1 lossy AI'!$BD$45:$BD$45</f>
        <v>#DIV/0!</v>
      </c>
      <c r="H19" s="5" t="e">
        <f>'C1 lossy AI'!$BE$45:$BE$45</f>
        <v>#DIV/0!</v>
      </c>
      <c r="I19" s="5" t="e">
        <f>'C1 lossy AI'!$BF$45:$BF$45</f>
        <v>#DIV/0!</v>
      </c>
    </row>
    <row r="20" spans="2:9" x14ac:dyDescent="0.25">
      <c r="B20" t="s">
        <v>8</v>
      </c>
      <c r="C20" s="5" t="e">
        <f>'C1 lossy AI'!$AZ$46:$AZ$46</f>
        <v>#DIV/0!</v>
      </c>
      <c r="D20" s="5" t="e">
        <f>'C1 lossy AI'!$BA$46:$BA$46</f>
        <v>#DIV/0!</v>
      </c>
      <c r="E20" s="5" t="e">
        <f>'C1 lossy AI'!$BB$46:$BB$46</f>
        <v>#DIV/0!</v>
      </c>
      <c r="F20" s="5" t="e">
        <f>'C1 lossy AI'!$BC$46:$BC$46</f>
        <v>#DIV/0!</v>
      </c>
      <c r="G20" s="5" t="e">
        <f>'C1 lossy AI'!$BD$46:$BD$46</f>
        <v>#DIV/0!</v>
      </c>
      <c r="H20" s="5" t="e">
        <f>'C1 lossy AI'!$BE$46:$BE$46</f>
        <v>#DIV/0!</v>
      </c>
      <c r="I20" s="5" t="e">
        <f>'C1 lossy AI'!$BF$46:$BF$46</f>
        <v>#DIV/0!</v>
      </c>
    </row>
    <row r="21" spans="2:9" x14ac:dyDescent="0.25">
      <c r="B21" t="s">
        <v>9</v>
      </c>
      <c r="C21" s="5" t="e">
        <f>'C1 lossy AI'!$AZ$47:$AZ$47</f>
        <v>#DIV/0!</v>
      </c>
      <c r="D21" s="5" t="e">
        <f>'C1 lossy AI'!$BA$47:$BA$47</f>
        <v>#DIV/0!</v>
      </c>
      <c r="E21" s="5" t="e">
        <f>'C1 lossy AI'!$BB$47:$BB$47</f>
        <v>#DIV/0!</v>
      </c>
      <c r="F21" s="5" t="e">
        <f>'C1 lossy AI'!$BC$47:$BC$47</f>
        <v>#DIV/0!</v>
      </c>
      <c r="G21" s="5" t="e">
        <f>'C1 lossy AI'!$BD$47:$BD$47</f>
        <v>#DIV/0!</v>
      </c>
      <c r="H21" s="5" t="e">
        <f>'C1 lossy AI'!$BE$47:$BE$47</f>
        <v>#DIV/0!</v>
      </c>
      <c r="I21" s="5" t="e">
        <f>'C1 lossy AI'!$BF$47:$BF$47</f>
        <v>#DIV/0!</v>
      </c>
    </row>
    <row r="22" spans="2:9" x14ac:dyDescent="0.25">
      <c r="B22" s="6" t="s">
        <v>10</v>
      </c>
      <c r="C22" s="7" t="e">
        <f>'C1 lossy AI'!$AZ$48:$AZ$48</f>
        <v>#DIV/0!</v>
      </c>
      <c r="D22" s="7" t="e">
        <f>'C1 lossy AI'!$BA$48:$BA$48</f>
        <v>#DIV/0!</v>
      </c>
      <c r="E22" s="7" t="e">
        <f>'C1 lossy AI'!$BB$48:$BB$48</f>
        <v>#DIV/0!</v>
      </c>
      <c r="F22" s="7" t="e">
        <f>'C1 lossy AI'!$BC$48:$BC$48</f>
        <v>#DIV/0!</v>
      </c>
      <c r="G22" s="7" t="e">
        <f>'C1 lossy AI'!$BD$48:$BD$48</f>
        <v>#DIV/0!</v>
      </c>
      <c r="H22" s="7" t="e">
        <f>'C1 lossy AI'!$BE$48:$BE$48</f>
        <v>#DIV/0!</v>
      </c>
      <c r="I22" s="7" t="e">
        <f>'C1 lossy AI'!$BF$48:$BF$48</f>
        <v>#DIV/0!</v>
      </c>
    </row>
    <row r="23" spans="2:9" x14ac:dyDescent="0.25">
      <c r="B23" t="s">
        <v>11</v>
      </c>
      <c r="C23" s="105" t="e">
        <f>'C1 lossy AI'!AW50</f>
        <v>#DIV/0!</v>
      </c>
      <c r="D23" s="106"/>
      <c r="E23" s="106"/>
      <c r="F23" s="106"/>
      <c r="G23" s="106"/>
      <c r="H23" s="106"/>
      <c r="I23" s="106"/>
    </row>
    <row r="24" spans="2:9" x14ac:dyDescent="0.25">
      <c r="B24" s="9" t="s">
        <v>12</v>
      </c>
      <c r="C24" s="107" t="e">
        <f>'C1 lossy AI'!AX50</f>
        <v>#DIV/0!</v>
      </c>
      <c r="D24" s="108"/>
      <c r="E24" s="108"/>
      <c r="F24" s="108"/>
      <c r="G24" s="108"/>
      <c r="H24" s="108"/>
      <c r="I24" s="108"/>
    </row>
    <row r="26" spans="2:9" s="1" customFormat="1" x14ac:dyDescent="0.25">
      <c r="B26" s="1" t="s">
        <v>23</v>
      </c>
    </row>
    <row r="28" spans="2:9" x14ac:dyDescent="0.25">
      <c r="B28" s="109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25">
      <c r="B29" s="106"/>
      <c r="C29" s="112" t="s">
        <v>15</v>
      </c>
      <c r="D29" s="106"/>
      <c r="E29" s="106"/>
      <c r="F29" s="106"/>
      <c r="G29" s="106"/>
      <c r="H29" s="113" t="s">
        <v>16</v>
      </c>
      <c r="I29" s="106"/>
    </row>
    <row r="30" spans="2:9" x14ac:dyDescent="0.25">
      <c r="B30" s="108"/>
      <c r="C30" s="4" t="s">
        <v>17</v>
      </c>
      <c r="D30" s="4" t="s">
        <v>18</v>
      </c>
      <c r="E30" s="4" t="s">
        <v>19</v>
      </c>
      <c r="F30" s="4" t="s">
        <v>20</v>
      </c>
      <c r="G30" s="4" t="s">
        <v>21</v>
      </c>
      <c r="H30" s="11" t="s">
        <v>22</v>
      </c>
      <c r="I30" s="11" t="s">
        <v>19</v>
      </c>
    </row>
    <row r="31" spans="2:9" x14ac:dyDescent="0.25">
      <c r="B31" t="s">
        <v>7</v>
      </c>
      <c r="C31" s="5" t="e">
        <f>'C2 lossy RA'!$AZ$45:$AZ$45</f>
        <v>#DIV/0!</v>
      </c>
      <c r="D31" s="5" t="e">
        <f>'C2 lossy RA'!$BA$45:$BA$45</f>
        <v>#DIV/0!</v>
      </c>
      <c r="E31" s="5" t="e">
        <f>'C2 lossy RA'!$BB$45:$BB$45</f>
        <v>#DIV/0!</v>
      </c>
      <c r="F31" s="5" t="e">
        <f>'C2 lossy RA'!$BC$45:$BC$45</f>
        <v>#DIV/0!</v>
      </c>
      <c r="G31" s="5" t="e">
        <f>'C2 lossy RA'!$BD$45:$BD$45</f>
        <v>#DIV/0!</v>
      </c>
      <c r="H31" s="5" t="e">
        <f>'C2 lossy RA'!$BE$45:$BE$45</f>
        <v>#DIV/0!</v>
      </c>
      <c r="I31" s="5" t="e">
        <f>'C2 lossy RA'!$BF$45:$BF$45</f>
        <v>#DIV/0!</v>
      </c>
    </row>
    <row r="32" spans="2:9" x14ac:dyDescent="0.25">
      <c r="B32" t="s">
        <v>8</v>
      </c>
      <c r="C32" s="5" t="e">
        <f>'C2 lossy RA'!$AZ$46:$AZ$46</f>
        <v>#DIV/0!</v>
      </c>
      <c r="D32" s="5" t="e">
        <f>'C2 lossy RA'!$BA$46:$BA$46</f>
        <v>#DIV/0!</v>
      </c>
      <c r="E32" s="5" t="e">
        <f>'C2 lossy RA'!$BB$46:$BB$46</f>
        <v>#DIV/0!</v>
      </c>
      <c r="F32" s="5" t="e">
        <f>'C2 lossy RA'!$BC$46:$BC$46</f>
        <v>#DIV/0!</v>
      </c>
      <c r="G32" s="5" t="e">
        <f>'C2 lossy RA'!$BD$46:$BD$46</f>
        <v>#DIV/0!</v>
      </c>
      <c r="H32" s="5" t="e">
        <f>'C2 lossy RA'!$BE$46:$BE$46</f>
        <v>#DIV/0!</v>
      </c>
      <c r="I32" s="5" t="e">
        <f>'C2 lossy RA'!$BF$46:$BF$46</f>
        <v>#DIV/0!</v>
      </c>
    </row>
    <row r="33" spans="2:9" x14ac:dyDescent="0.25">
      <c r="B33" t="s">
        <v>9</v>
      </c>
      <c r="C33" s="5" t="e">
        <f>'C2 lossy RA'!$AZ$47:$AZ$47</f>
        <v>#DIV/0!</v>
      </c>
      <c r="D33" s="5" t="e">
        <f>'C2 lossy RA'!$BA$47:$BA$47</f>
        <v>#DIV/0!</v>
      </c>
      <c r="E33" s="5" t="e">
        <f>'C2 lossy RA'!$BB$47:$BB$47</f>
        <v>#DIV/0!</v>
      </c>
      <c r="F33" s="5" t="e">
        <f>'C2 lossy RA'!$BC$47:$BC$47</f>
        <v>#DIV/0!</v>
      </c>
      <c r="G33" s="5" t="e">
        <f>'C2 lossy RA'!$BD$47:$BD$47</f>
        <v>#DIV/0!</v>
      </c>
      <c r="H33" s="5" t="e">
        <f>'C2 lossy RA'!$BE$47:$BE$47</f>
        <v>#DIV/0!</v>
      </c>
      <c r="I33" s="5" t="e">
        <f>'C2 lossy RA'!$BF$47:$BF$47</f>
        <v>#DIV/0!</v>
      </c>
    </row>
    <row r="34" spans="2:9" x14ac:dyDescent="0.25">
      <c r="B34" s="6" t="s">
        <v>10</v>
      </c>
      <c r="C34" s="7" t="e">
        <f>'C2 lossy RA'!$AZ$48:$AZ$48</f>
        <v>#DIV/0!</v>
      </c>
      <c r="D34" s="7" t="e">
        <f>'C2 lossy RA'!$BA$48:$BA$48</f>
        <v>#DIV/0!</v>
      </c>
      <c r="E34" s="7" t="e">
        <f>'C2 lossy RA'!$BB$48:$BB$48</f>
        <v>#DIV/0!</v>
      </c>
      <c r="F34" s="7" t="e">
        <f>'C2 lossy RA'!$BC$48:$BC$48</f>
        <v>#DIV/0!</v>
      </c>
      <c r="G34" s="7" t="e">
        <f>'C2 lossy RA'!$BD$48:$BD$48</f>
        <v>#DIV/0!</v>
      </c>
      <c r="H34" s="7" t="e">
        <f>'C2 lossy RA'!$BE$48:$BE$48</f>
        <v>#DIV/0!</v>
      </c>
      <c r="I34" s="7" t="e">
        <f>'C2 lossy RA'!$BF$48:$BF$48</f>
        <v>#DIV/0!</v>
      </c>
    </row>
    <row r="35" spans="2:9" x14ac:dyDescent="0.25">
      <c r="B35" t="s">
        <v>11</v>
      </c>
      <c r="C35" s="105" t="e">
        <f>'C2 lossy RA'!AW50</f>
        <v>#DIV/0!</v>
      </c>
      <c r="D35" s="106"/>
      <c r="E35" s="106"/>
      <c r="F35" s="106"/>
      <c r="G35" s="106"/>
      <c r="H35" s="106"/>
      <c r="I35" s="106"/>
    </row>
    <row r="36" spans="2:9" x14ac:dyDescent="0.25">
      <c r="B36" s="9" t="s">
        <v>12</v>
      </c>
      <c r="C36" s="107" t="e">
        <f>'C2 lossy RA'!AX50</f>
        <v>#DIV/0!</v>
      </c>
      <c r="D36" s="108"/>
      <c r="E36" s="108"/>
      <c r="F36" s="108"/>
      <c r="G36" s="108"/>
      <c r="H36" s="108"/>
      <c r="I36" s="108"/>
    </row>
  </sheetData>
  <mergeCells count="15">
    <mergeCell ref="C1:E1"/>
    <mergeCell ref="C2:E2"/>
    <mergeCell ref="B6:B8"/>
    <mergeCell ref="B16:B18"/>
    <mergeCell ref="C16:I16"/>
    <mergeCell ref="C17:G17"/>
    <mergeCell ref="H17:I17"/>
    <mergeCell ref="C35:I35"/>
    <mergeCell ref="C36:I36"/>
    <mergeCell ref="C23:I23"/>
    <mergeCell ref="C24:I24"/>
    <mergeCell ref="B28:B30"/>
    <mergeCell ref="C28:I28"/>
    <mergeCell ref="C29:G29"/>
    <mergeCell ref="H29:I29"/>
  </mergeCells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40625" defaultRowHeight="15" x14ac:dyDescent="0.2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4" x14ac:dyDescent="0.25">
      <c r="A1" t="s">
        <v>26</v>
      </c>
      <c r="B1" s="12" t="s">
        <v>30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25">
      <c r="A2" t="s">
        <v>31</v>
      </c>
      <c r="B2" s="12" t="s">
        <v>38</v>
      </c>
      <c r="C2" t="s">
        <v>33</v>
      </c>
      <c r="I2" t="s">
        <v>34</v>
      </c>
      <c r="J2" t="s">
        <v>35</v>
      </c>
      <c r="M2" t="s">
        <v>377</v>
      </c>
      <c r="N2" t="s">
        <v>376</v>
      </c>
    </row>
    <row r="3" spans="1:14" x14ac:dyDescent="0.25">
      <c r="I3" t="s">
        <v>36</v>
      </c>
      <c r="J3" t="s">
        <v>37</v>
      </c>
      <c r="M3" t="s">
        <v>38</v>
      </c>
      <c r="N3" t="s">
        <v>38</v>
      </c>
    </row>
    <row r="4" spans="1:14" x14ac:dyDescent="0.2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2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2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2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2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2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2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25">
      <c r="I11" t="s">
        <v>52</v>
      </c>
      <c r="J11" t="s">
        <v>76</v>
      </c>
    </row>
    <row r="12" spans="1:14" x14ac:dyDescent="0.25">
      <c r="I12" t="s">
        <v>71</v>
      </c>
      <c r="J12" t="s">
        <v>77</v>
      </c>
    </row>
    <row r="13" spans="1:14" x14ac:dyDescent="0.25">
      <c r="I13" t="s">
        <v>78</v>
      </c>
      <c r="J13" t="s">
        <v>79</v>
      </c>
    </row>
    <row r="14" spans="1:14" x14ac:dyDescent="0.25">
      <c r="I14" t="s">
        <v>80</v>
      </c>
      <c r="J14" t="s">
        <v>81</v>
      </c>
    </row>
    <row r="15" spans="1:14" x14ac:dyDescent="0.25">
      <c r="I15" t="s">
        <v>82</v>
      </c>
      <c r="J15" t="s">
        <v>83</v>
      </c>
    </row>
    <row r="16" spans="1:14" x14ac:dyDescent="0.25">
      <c r="I16" t="s">
        <v>84</v>
      </c>
      <c r="J16" t="s">
        <v>85</v>
      </c>
    </row>
    <row r="17" spans="9:10" x14ac:dyDescent="0.25">
      <c r="I17" t="s">
        <v>62</v>
      </c>
      <c r="J17" t="s">
        <v>86</v>
      </c>
    </row>
    <row r="18" spans="9:10" x14ac:dyDescent="0.25">
      <c r="I18" t="s">
        <v>67</v>
      </c>
      <c r="J18" t="s">
        <v>87</v>
      </c>
    </row>
    <row r="19" spans="9:10" x14ac:dyDescent="0.25">
      <c r="I19" t="s">
        <v>42</v>
      </c>
      <c r="J19" t="s">
        <v>88</v>
      </c>
    </row>
    <row r="20" spans="9:10" x14ac:dyDescent="0.25">
      <c r="I20" t="s">
        <v>47</v>
      </c>
      <c r="J20" t="s">
        <v>89</v>
      </c>
    </row>
    <row r="21" spans="9:10" x14ac:dyDescent="0.25">
      <c r="I21" t="s">
        <v>57</v>
      </c>
      <c r="J21" t="s">
        <v>90</v>
      </c>
    </row>
    <row r="22" spans="9:10" x14ac:dyDescent="0.25">
      <c r="I22" t="s">
        <v>91</v>
      </c>
      <c r="J22" t="s">
        <v>92</v>
      </c>
    </row>
    <row r="23" spans="9:10" x14ac:dyDescent="0.25">
      <c r="I23" t="s">
        <v>93</v>
      </c>
      <c r="J23" t="s">
        <v>94</v>
      </c>
    </row>
    <row r="24" spans="9:10" x14ac:dyDescent="0.25">
      <c r="I24" t="s">
        <v>95</v>
      </c>
      <c r="J24" t="s">
        <v>96</v>
      </c>
    </row>
    <row r="25" spans="9:10" x14ac:dyDescent="0.25">
      <c r="I25" t="s">
        <v>97</v>
      </c>
      <c r="J25" t="s">
        <v>98</v>
      </c>
    </row>
    <row r="26" spans="9:10" x14ac:dyDescent="0.25">
      <c r="I26" t="s">
        <v>99</v>
      </c>
      <c r="J26" t="s">
        <v>100</v>
      </c>
    </row>
    <row r="27" spans="9:10" x14ac:dyDescent="0.25">
      <c r="I27" t="s">
        <v>101</v>
      </c>
      <c r="J27" t="s">
        <v>102</v>
      </c>
    </row>
    <row r="28" spans="9:10" x14ac:dyDescent="0.25">
      <c r="I28" t="s">
        <v>103</v>
      </c>
      <c r="J28" t="s">
        <v>104</v>
      </c>
    </row>
    <row r="29" spans="9:10" x14ac:dyDescent="0.25">
      <c r="I29" t="s">
        <v>105</v>
      </c>
      <c r="J29" t="s">
        <v>106</v>
      </c>
    </row>
    <row r="30" spans="9:10" x14ac:dyDescent="0.25">
      <c r="I30" t="s">
        <v>107</v>
      </c>
      <c r="J30" t="s">
        <v>108</v>
      </c>
    </row>
    <row r="31" spans="9:10" x14ac:dyDescent="0.25">
      <c r="I31" t="s">
        <v>109</v>
      </c>
      <c r="J31" t="s">
        <v>110</v>
      </c>
    </row>
    <row r="32" spans="9:10" x14ac:dyDescent="0.25">
      <c r="I32" t="s">
        <v>111</v>
      </c>
      <c r="J32" t="s">
        <v>112</v>
      </c>
    </row>
    <row r="33" spans="9:10" x14ac:dyDescent="0.25">
      <c r="I33" t="s">
        <v>113</v>
      </c>
      <c r="J33" t="s">
        <v>114</v>
      </c>
    </row>
    <row r="34" spans="9:10" x14ac:dyDescent="0.25">
      <c r="I34" t="s">
        <v>115</v>
      </c>
      <c r="J34" t="s">
        <v>116</v>
      </c>
    </row>
    <row r="35" spans="9:10" x14ac:dyDescent="0.25">
      <c r="I35" t="s">
        <v>117</v>
      </c>
      <c r="J35" t="s">
        <v>118</v>
      </c>
    </row>
    <row r="36" spans="9:10" x14ac:dyDescent="0.25">
      <c r="I36" t="s">
        <v>119</v>
      </c>
      <c r="J36" t="s">
        <v>120</v>
      </c>
    </row>
    <row r="37" spans="9:10" x14ac:dyDescent="0.25">
      <c r="I37" t="s">
        <v>121</v>
      </c>
      <c r="J37" t="s">
        <v>122</v>
      </c>
    </row>
    <row r="38" spans="9:10" x14ac:dyDescent="0.25">
      <c r="I38" t="s">
        <v>123</v>
      </c>
      <c r="J38" t="s">
        <v>124</v>
      </c>
    </row>
    <row r="39" spans="9:10" x14ac:dyDescent="0.25">
      <c r="I39" t="s">
        <v>125</v>
      </c>
      <c r="J39" t="s">
        <v>126</v>
      </c>
    </row>
    <row r="40" spans="9:10" x14ac:dyDescent="0.25">
      <c r="I40" t="s">
        <v>40</v>
      </c>
      <c r="J40" t="s">
        <v>127</v>
      </c>
    </row>
    <row r="41" spans="9:10" x14ac:dyDescent="0.25">
      <c r="I41" t="s">
        <v>128</v>
      </c>
      <c r="J41" t="s">
        <v>129</v>
      </c>
    </row>
    <row r="42" spans="9:10" x14ac:dyDescent="0.25">
      <c r="I42" t="s">
        <v>130</v>
      </c>
      <c r="J42" t="s">
        <v>131</v>
      </c>
    </row>
    <row r="43" spans="9:10" x14ac:dyDescent="0.25">
      <c r="I43" t="s">
        <v>132</v>
      </c>
      <c r="J43" t="s">
        <v>133</v>
      </c>
    </row>
    <row r="44" spans="9:10" x14ac:dyDescent="0.25">
      <c r="I44" t="s">
        <v>134</v>
      </c>
      <c r="J44" t="s">
        <v>135</v>
      </c>
    </row>
    <row r="45" spans="9:10" x14ac:dyDescent="0.25">
      <c r="I45" t="s">
        <v>136</v>
      </c>
      <c r="J45" t="s">
        <v>137</v>
      </c>
    </row>
    <row r="46" spans="9:10" x14ac:dyDescent="0.25">
      <c r="I46" t="s">
        <v>138</v>
      </c>
      <c r="J46" t="s">
        <v>139</v>
      </c>
    </row>
    <row r="47" spans="9:10" x14ac:dyDescent="0.25">
      <c r="I47" t="s">
        <v>140</v>
      </c>
      <c r="J47" t="s">
        <v>141</v>
      </c>
    </row>
    <row r="48" spans="9:10" x14ac:dyDescent="0.25">
      <c r="I48" t="s">
        <v>142</v>
      </c>
      <c r="J48" t="s">
        <v>143</v>
      </c>
    </row>
    <row r="49" spans="9:10" x14ac:dyDescent="0.25">
      <c r="I49" t="s">
        <v>144</v>
      </c>
      <c r="J49" t="s">
        <v>145</v>
      </c>
    </row>
    <row r="50" spans="9:10" x14ac:dyDescent="0.25">
      <c r="I50" t="s">
        <v>146</v>
      </c>
      <c r="J50" t="s">
        <v>147</v>
      </c>
    </row>
    <row r="51" spans="9:10" x14ac:dyDescent="0.25">
      <c r="I51" t="s">
        <v>399</v>
      </c>
      <c r="J51" t="s">
        <v>395</v>
      </c>
    </row>
    <row r="52" spans="9:10" x14ac:dyDescent="0.25">
      <c r="I52" t="s">
        <v>400</v>
      </c>
      <c r="J52" t="s">
        <v>396</v>
      </c>
    </row>
    <row r="53" spans="9:10" x14ac:dyDescent="0.25">
      <c r="I53" t="s">
        <v>373</v>
      </c>
      <c r="J53" t="s">
        <v>397</v>
      </c>
    </row>
    <row r="54" spans="9:10" x14ac:dyDescent="0.25">
      <c r="I54" t="s">
        <v>401</v>
      </c>
      <c r="J54" t="s">
        <v>398</v>
      </c>
    </row>
  </sheetData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1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sqref="A1:F1"/>
    </sheetView>
  </sheetViews>
  <sheetFormatPr defaultColWidth="9.140625" defaultRowHeight="15" x14ac:dyDescent="0.25"/>
  <cols>
    <col min="2" max="2" width="24.7109375" customWidth="1"/>
    <col min="3" max="4" width="10.7109375" customWidth="1"/>
    <col min="7" max="7" width="1.7109375" customWidth="1"/>
    <col min="9" max="9" width="10.7109375" customWidth="1"/>
    <col min="10" max="11" width="12.7109375" customWidth="1"/>
    <col min="14" max="14" width="1.7109375" customWidth="1"/>
    <col min="16" max="16" width="10.7109375" customWidth="1"/>
    <col min="17" max="18" width="12.7109375" customWidth="1"/>
    <col min="21" max="21" width="1.7109375" customWidth="1"/>
    <col min="23" max="23" width="1.7109375" customWidth="1"/>
  </cols>
  <sheetData>
    <row r="1" spans="1:24" x14ac:dyDescent="0.25">
      <c r="A1" s="118" t="s">
        <v>148</v>
      </c>
      <c r="B1" s="106"/>
      <c r="C1" s="106"/>
      <c r="D1" s="106"/>
      <c r="E1" s="106"/>
      <c r="F1" s="106"/>
      <c r="H1" s="114" t="s">
        <v>149</v>
      </c>
      <c r="I1" s="106"/>
      <c r="J1" s="106"/>
      <c r="K1" s="106"/>
      <c r="L1" s="106"/>
      <c r="M1" s="106"/>
      <c r="O1" s="115" t="s">
        <v>150</v>
      </c>
      <c r="P1" s="106"/>
      <c r="Q1" s="106"/>
      <c r="R1" s="106"/>
      <c r="S1" s="106"/>
      <c r="T1" s="106"/>
    </row>
    <row r="2" spans="1:24" ht="30" customHeight="1" thickBot="1" x14ac:dyDescent="0.3">
      <c r="A2" s="117" t="s">
        <v>151</v>
      </c>
      <c r="B2" s="116" t="s">
        <v>152</v>
      </c>
      <c r="C2" s="117" t="s">
        <v>153</v>
      </c>
      <c r="D2" s="116" t="s">
        <v>154</v>
      </c>
      <c r="E2" s="117" t="s">
        <v>155</v>
      </c>
      <c r="F2" s="116" t="s">
        <v>156</v>
      </c>
      <c r="H2" s="117" t="s">
        <v>127</v>
      </c>
      <c r="I2" s="116" t="s">
        <v>131</v>
      </c>
      <c r="J2" s="117" t="s">
        <v>120</v>
      </c>
      <c r="K2" s="87" t="s">
        <v>157</v>
      </c>
      <c r="L2" s="116" t="s">
        <v>122</v>
      </c>
      <c r="M2" s="117" t="s">
        <v>102</v>
      </c>
      <c r="O2" s="116" t="s">
        <v>127</v>
      </c>
      <c r="P2" s="117" t="s">
        <v>131</v>
      </c>
      <c r="Q2" s="116" t="s">
        <v>120</v>
      </c>
      <c r="R2" s="87" t="s">
        <v>157</v>
      </c>
      <c r="S2" s="117" t="s">
        <v>122</v>
      </c>
      <c r="T2" s="116" t="s">
        <v>102</v>
      </c>
      <c r="V2" s="117" t="s">
        <v>158</v>
      </c>
      <c r="X2" s="117" t="s">
        <v>159</v>
      </c>
    </row>
    <row r="3" spans="1:24" ht="15.75" customHeight="1" thickBot="1" x14ac:dyDescent="0.3">
      <c r="A3" s="108"/>
      <c r="B3" s="108"/>
      <c r="C3" s="108"/>
      <c r="D3" s="108"/>
      <c r="E3" s="108"/>
      <c r="F3" s="108"/>
      <c r="H3" s="108"/>
      <c r="I3" s="108"/>
      <c r="J3" s="108"/>
      <c r="K3" s="13" t="s">
        <v>430</v>
      </c>
      <c r="L3" s="108"/>
      <c r="M3" s="108"/>
      <c r="O3" s="108"/>
      <c r="P3" s="108"/>
      <c r="Q3" s="108"/>
      <c r="R3" s="13" t="s">
        <v>430</v>
      </c>
      <c r="S3" s="108"/>
      <c r="T3" s="108"/>
      <c r="V3" s="108"/>
      <c r="X3" s="108"/>
    </row>
    <row r="4" spans="1:24" ht="48.75" hidden="1" customHeight="1" thickBot="1" x14ac:dyDescent="0.3">
      <c r="A4" s="15" t="s">
        <v>160</v>
      </c>
      <c r="B4" s="16" t="s">
        <v>161</v>
      </c>
      <c r="C4" s="15" t="s">
        <v>162</v>
      </c>
      <c r="D4" s="16" t="s">
        <v>163</v>
      </c>
      <c r="E4" s="15" t="s">
        <v>164</v>
      </c>
      <c r="F4" s="16" t="s">
        <v>165</v>
      </c>
      <c r="H4" s="15" t="s">
        <v>166</v>
      </c>
      <c r="I4" s="16" t="s">
        <v>167</v>
      </c>
      <c r="J4" s="15" t="s">
        <v>168</v>
      </c>
      <c r="K4" s="15"/>
      <c r="L4" s="16" t="s">
        <v>169</v>
      </c>
      <c r="M4" s="15" t="s">
        <v>170</v>
      </c>
      <c r="O4" s="16" t="s">
        <v>171</v>
      </c>
      <c r="P4" s="15" t="s">
        <v>172</v>
      </c>
      <c r="Q4" s="16" t="s">
        <v>173</v>
      </c>
      <c r="R4" s="16"/>
      <c r="S4" s="15" t="s">
        <v>174</v>
      </c>
      <c r="T4" s="16" t="s">
        <v>175</v>
      </c>
      <c r="V4" s="15" t="s">
        <v>176</v>
      </c>
    </row>
    <row r="5" spans="1:24" collapsed="1" x14ac:dyDescent="0.25">
      <c r="A5" s="17" t="s">
        <v>177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 t="str">
        <f t="shared" ref="H5:H12" si="0">IF(OR(ISBLANK(J5),ISBLANK(F5)),"·",J5*F5/E5/1000000)</f>
        <v>·</v>
      </c>
      <c r="I5" s="21" t="str">
        <f t="shared" ref="I5:I12" si="1">IF(ISBLANK(J5),"·",J5/C5)</f>
        <v>·</v>
      </c>
      <c r="J5" s="22"/>
      <c r="K5" s="22"/>
      <c r="L5" s="23"/>
      <c r="M5" s="23"/>
      <c r="O5" s="20" t="str">
        <f t="shared" ref="O5:O12" si="2">IF(OR(ISBLANK(Q5),ISBLANK(F5)),"·",Q5*F5/E5/1000000)</f>
        <v>·</v>
      </c>
      <c r="P5" s="21" t="str">
        <f t="shared" ref="P5:P12" si="3">IF(ISBLANK(Q5),"·",Q5/C5)</f>
        <v>·</v>
      </c>
      <c r="Q5" s="22"/>
      <c r="R5" s="22"/>
      <c r="S5" s="23"/>
      <c r="T5" s="23"/>
      <c r="V5" s="24" t="e">
        <f t="shared" ref="V5:V16" si="4">P5/I5</f>
        <v>#VALUE!</v>
      </c>
      <c r="X5" s="24" t="str">
        <f t="shared" ref="X5:X12" si="5">IF(OR(ISBLANK(R5),ISBLANK(K5)),".",R5/K5-1)</f>
        <v>.</v>
      </c>
    </row>
    <row r="6" spans="1:24" ht="15.75" customHeight="1" collapsed="1" thickBot="1" x14ac:dyDescent="0.3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 t="str">
        <f t="shared" si="0"/>
        <v>·</v>
      </c>
      <c r="I6" s="29" t="str">
        <f t="shared" si="1"/>
        <v>·</v>
      </c>
      <c r="J6" s="30"/>
      <c r="K6" s="30"/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25">
      <c r="A7" s="17" t="s">
        <v>178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 t="str">
        <f t="shared" si="0"/>
        <v>·</v>
      </c>
      <c r="I7" s="21" t="str">
        <f t="shared" si="1"/>
        <v>·</v>
      </c>
      <c r="J7" s="22"/>
      <c r="K7" s="22"/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3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 t="str">
        <f t="shared" si="0"/>
        <v>·</v>
      </c>
      <c r="I8" s="29" t="str">
        <f t="shared" si="1"/>
        <v>·</v>
      </c>
      <c r="J8" s="30"/>
      <c r="K8" s="30"/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25">
      <c r="A9" s="17" t="s">
        <v>179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 t="str">
        <f t="shared" si="0"/>
        <v>·</v>
      </c>
      <c r="I9" s="21" t="str">
        <f t="shared" si="1"/>
        <v>·</v>
      </c>
      <c r="J9" s="22"/>
      <c r="K9" s="22"/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25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 t="str">
        <f t="shared" si="0"/>
        <v>·</v>
      </c>
      <c r="I10" s="37" t="str">
        <f t="shared" si="1"/>
        <v>·</v>
      </c>
      <c r="J10" s="38"/>
      <c r="K10" s="38"/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25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 t="str">
        <f t="shared" si="0"/>
        <v>·</v>
      </c>
      <c r="I11" s="21" t="str">
        <f t="shared" si="1"/>
        <v>·</v>
      </c>
      <c r="J11" s="22"/>
      <c r="K11" s="22"/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3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 t="str">
        <f t="shared" si="0"/>
        <v>·</v>
      </c>
      <c r="I12" s="29" t="str">
        <f t="shared" si="1"/>
        <v>·</v>
      </c>
      <c r="J12" s="30"/>
      <c r="K12" s="30"/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x14ac:dyDescent="0.25">
      <c r="B13" s="41" t="s">
        <v>7</v>
      </c>
      <c r="I13" s="42" t="e">
        <f>AVERAGE(I5:I6)</f>
        <v>#DIV/0!</v>
      </c>
      <c r="P13" s="42" t="e">
        <f>AVERAGE(P5:P6)</f>
        <v>#DIV/0!</v>
      </c>
      <c r="V13" s="5" t="e">
        <f t="shared" si="4"/>
        <v>#DIV/0!</v>
      </c>
      <c r="X13" s="42" t="e">
        <f>AVERAGE(X5:X6)</f>
        <v>#DIV/0!</v>
      </c>
    </row>
    <row r="14" spans="1:24" x14ac:dyDescent="0.25">
      <c r="B14" s="41" t="s">
        <v>8</v>
      </c>
      <c r="I14" s="42" t="e">
        <f>AVERAGE(I7:I8)</f>
        <v>#DIV/0!</v>
      </c>
      <c r="P14" s="42" t="e">
        <f>AVERAGE(P7:P8)</f>
        <v>#DIV/0!</v>
      </c>
      <c r="V14" s="5" t="e">
        <f t="shared" si="4"/>
        <v>#DIV/0!</v>
      </c>
      <c r="X14" s="42" t="e">
        <f>AVERAGE(X7:X8)</f>
        <v>#DIV/0!</v>
      </c>
    </row>
    <row r="15" spans="1:24" x14ac:dyDescent="0.25">
      <c r="B15" s="41" t="s">
        <v>9</v>
      </c>
      <c r="I15" s="42" t="e">
        <f>AVERAGE(I9:I12)</f>
        <v>#DIV/0!</v>
      </c>
      <c r="P15" s="42" t="e">
        <f>AVERAGE(P9:P12)</f>
        <v>#DIV/0!</v>
      </c>
      <c r="V15" s="5" t="e">
        <f t="shared" si="4"/>
        <v>#DIV/0!</v>
      </c>
      <c r="X15" s="42" t="e">
        <f>AVERAGE(X9:X12)</f>
        <v>#DIV/0!</v>
      </c>
    </row>
    <row r="16" spans="1:24" x14ac:dyDescent="0.25">
      <c r="B16" s="41" t="s">
        <v>10</v>
      </c>
      <c r="I16" s="42" t="e">
        <f>AVERAGE(I5:I12)</f>
        <v>#DIV/0!</v>
      </c>
      <c r="P16" s="42" t="e">
        <f>AVERAGE(P5:P12)</f>
        <v>#DIV/0!</v>
      </c>
      <c r="V16" s="5" t="e">
        <f t="shared" si="4"/>
        <v>#DIV/0!</v>
      </c>
      <c r="X16" s="42" t="e">
        <f>AVERAGE(X5:X12)</f>
        <v>#DIV/0!</v>
      </c>
    </row>
    <row r="17" spans="1:20" x14ac:dyDescent="0.25">
      <c r="A17" s="41" t="s">
        <v>180</v>
      </c>
      <c r="B17" s="41" t="s">
        <v>181</v>
      </c>
      <c r="L17" s="43">
        <f>SUM(L5:L6,L7:L8,L9:L12)</f>
        <v>0</v>
      </c>
      <c r="M17" s="43">
        <f>SUM(M5:M6,M7:M8,M9:M12)</f>
        <v>0</v>
      </c>
      <c r="S17" s="43">
        <f>SUM(S5:S6,S7:S8,S9:S12)</f>
        <v>0</v>
      </c>
      <c r="T17" s="43">
        <f>SUM(T5:T6,T7:T8,T9:T12)</f>
        <v>0</v>
      </c>
    </row>
    <row r="18" spans="1:20" x14ac:dyDescent="0.25">
      <c r="B18" s="41" t="s">
        <v>182</v>
      </c>
      <c r="S18" s="8" t="e">
        <f>S17/L17</f>
        <v>#DIV/0!</v>
      </c>
      <c r="T18" s="8" t="e">
        <f>T17/M17</f>
        <v>#DIV/0!</v>
      </c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30" workbookViewId="0">
      <selection activeCell="H72" sqref="H72"/>
    </sheetView>
  </sheetViews>
  <sheetFormatPr defaultColWidth="9.140625" defaultRowHeight="15" x14ac:dyDescent="0.25"/>
  <cols>
    <col min="1" max="1" width="41.7109375" bestFit="1" customWidth="1"/>
  </cols>
  <sheetData>
    <row r="1" spans="1:2" x14ac:dyDescent="0.25">
      <c r="A1" t="s">
        <v>183</v>
      </c>
      <c r="B1">
        <v>1</v>
      </c>
    </row>
    <row r="2" spans="1:2" x14ac:dyDescent="0.25">
      <c r="A2" t="s">
        <v>184</v>
      </c>
      <c r="B2">
        <v>2</v>
      </c>
    </row>
    <row r="3" spans="1:2" x14ac:dyDescent="0.25">
      <c r="A3" t="s">
        <v>185</v>
      </c>
      <c r="B3">
        <v>3</v>
      </c>
    </row>
    <row r="4" spans="1:2" x14ac:dyDescent="0.25">
      <c r="A4" t="s">
        <v>186</v>
      </c>
      <c r="B4">
        <v>4</v>
      </c>
    </row>
    <row r="5" spans="1:2" x14ac:dyDescent="0.25">
      <c r="A5" t="s">
        <v>187</v>
      </c>
      <c r="B5">
        <v>5</v>
      </c>
    </row>
    <row r="6" spans="1:2" x14ac:dyDescent="0.25">
      <c r="A6" t="s">
        <v>188</v>
      </c>
      <c r="B6">
        <v>6</v>
      </c>
    </row>
    <row r="7" spans="1:2" x14ac:dyDescent="0.25">
      <c r="A7" t="s">
        <v>189</v>
      </c>
      <c r="B7">
        <v>8</v>
      </c>
    </row>
    <row r="8" spans="1:2" x14ac:dyDescent="0.25">
      <c r="A8" t="s">
        <v>190</v>
      </c>
      <c r="B8">
        <v>9</v>
      </c>
    </row>
    <row r="9" spans="1:2" x14ac:dyDescent="0.25">
      <c r="A9" t="s">
        <v>191</v>
      </c>
      <c r="B9">
        <v>10</v>
      </c>
    </row>
    <row r="10" spans="1:2" x14ac:dyDescent="0.25">
      <c r="A10" t="s">
        <v>192</v>
      </c>
      <c r="B10">
        <v>11</v>
      </c>
    </row>
    <row r="11" spans="1:2" x14ac:dyDescent="0.25">
      <c r="A11" t="s">
        <v>193</v>
      </c>
      <c r="B11">
        <v>12</v>
      </c>
    </row>
    <row r="12" spans="1:2" x14ac:dyDescent="0.25">
      <c r="A12" t="s">
        <v>194</v>
      </c>
      <c r="B12">
        <v>14</v>
      </c>
    </row>
    <row r="13" spans="1:2" x14ac:dyDescent="0.25">
      <c r="A13" t="s">
        <v>195</v>
      </c>
      <c r="B13">
        <v>15</v>
      </c>
    </row>
    <row r="14" spans="1:2" x14ac:dyDescent="0.25">
      <c r="A14" t="s">
        <v>196</v>
      </c>
      <c r="B14">
        <v>16</v>
      </c>
    </row>
    <row r="15" spans="1:2" x14ac:dyDescent="0.25">
      <c r="A15" t="s">
        <v>197</v>
      </c>
      <c r="B15">
        <v>17</v>
      </c>
    </row>
    <row r="16" spans="1:2" x14ac:dyDescent="0.25">
      <c r="A16" t="s">
        <v>198</v>
      </c>
      <c r="B16">
        <v>18</v>
      </c>
    </row>
    <row r="17" spans="1:2" x14ac:dyDescent="0.25">
      <c r="A17" t="s">
        <v>199</v>
      </c>
      <c r="B17">
        <v>20</v>
      </c>
    </row>
    <row r="18" spans="1:2" x14ac:dyDescent="0.25">
      <c r="A18" t="s">
        <v>200</v>
      </c>
      <c r="B18" t="s">
        <v>201</v>
      </c>
    </row>
    <row r="19" spans="1:2" x14ac:dyDescent="0.25">
      <c r="A19" t="s">
        <v>202</v>
      </c>
      <c r="B19" t="s">
        <v>203</v>
      </c>
    </row>
    <row r="20" spans="1:2" x14ac:dyDescent="0.25">
      <c r="A20" t="s">
        <v>204</v>
      </c>
      <c r="B20" t="s">
        <v>205</v>
      </c>
    </row>
    <row r="21" spans="1:2" x14ac:dyDescent="0.25">
      <c r="A21" t="s">
        <v>206</v>
      </c>
      <c r="B21" t="s">
        <v>207</v>
      </c>
    </row>
    <row r="22" spans="1:2" x14ac:dyDescent="0.25">
      <c r="A22" t="s">
        <v>208</v>
      </c>
      <c r="B22" t="s">
        <v>209</v>
      </c>
    </row>
    <row r="23" spans="1:2" x14ac:dyDescent="0.25">
      <c r="A23" t="s">
        <v>210</v>
      </c>
      <c r="B23" t="s">
        <v>211</v>
      </c>
    </row>
    <row r="24" spans="1:2" x14ac:dyDescent="0.25">
      <c r="A24" t="s">
        <v>212</v>
      </c>
      <c r="B24" t="s">
        <v>213</v>
      </c>
    </row>
    <row r="25" spans="1:2" x14ac:dyDescent="0.25">
      <c r="A25" t="s">
        <v>214</v>
      </c>
      <c r="B25" t="s">
        <v>215</v>
      </c>
    </row>
    <row r="26" spans="1:2" x14ac:dyDescent="0.25">
      <c r="A26" t="s">
        <v>216</v>
      </c>
      <c r="B26" t="s">
        <v>217</v>
      </c>
    </row>
    <row r="27" spans="1:2" x14ac:dyDescent="0.25">
      <c r="A27" t="s">
        <v>218</v>
      </c>
      <c r="B27" t="s">
        <v>219</v>
      </c>
    </row>
    <row r="28" spans="1:2" x14ac:dyDescent="0.25">
      <c r="A28" t="s">
        <v>220</v>
      </c>
      <c r="B28">
        <v>1</v>
      </c>
    </row>
    <row r="29" spans="1:2" x14ac:dyDescent="0.25">
      <c r="A29" t="s">
        <v>221</v>
      </c>
      <c r="B29">
        <v>2</v>
      </c>
    </row>
    <row r="30" spans="1:2" x14ac:dyDescent="0.25">
      <c r="A30" t="s">
        <v>222</v>
      </c>
      <c r="B30">
        <v>3</v>
      </c>
    </row>
    <row r="31" spans="1:2" x14ac:dyDescent="0.25">
      <c r="A31" t="s">
        <v>223</v>
      </c>
      <c r="B31">
        <v>4</v>
      </c>
    </row>
    <row r="32" spans="1:2" x14ac:dyDescent="0.25">
      <c r="A32" t="s">
        <v>224</v>
      </c>
      <c r="B32">
        <v>5</v>
      </c>
    </row>
    <row r="33" spans="1:2" x14ac:dyDescent="0.25">
      <c r="A33" t="s">
        <v>225</v>
      </c>
      <c r="B33">
        <v>6</v>
      </c>
    </row>
    <row r="34" spans="1:2" x14ac:dyDescent="0.25">
      <c r="A34" t="s">
        <v>226</v>
      </c>
      <c r="B34">
        <v>7</v>
      </c>
    </row>
    <row r="35" spans="1:2" x14ac:dyDescent="0.25">
      <c r="A35" t="s">
        <v>227</v>
      </c>
      <c r="B35">
        <v>8</v>
      </c>
    </row>
    <row r="36" spans="1:2" x14ac:dyDescent="0.25">
      <c r="A36" t="s">
        <v>228</v>
      </c>
      <c r="B36">
        <v>10</v>
      </c>
    </row>
    <row r="37" spans="1:2" x14ac:dyDescent="0.25">
      <c r="A37" t="s">
        <v>229</v>
      </c>
      <c r="B37">
        <v>11</v>
      </c>
    </row>
    <row r="38" spans="1:2" x14ac:dyDescent="0.25">
      <c r="A38" t="s">
        <v>414</v>
      </c>
      <c r="B38">
        <v>13</v>
      </c>
    </row>
    <row r="39" spans="1:2" x14ac:dyDescent="0.25">
      <c r="A39" t="s">
        <v>230</v>
      </c>
      <c r="B39">
        <v>14</v>
      </c>
    </row>
    <row r="40" spans="1:2" x14ac:dyDescent="0.25">
      <c r="A40" t="s">
        <v>231</v>
      </c>
      <c r="B40">
        <v>15</v>
      </c>
    </row>
    <row r="41" spans="1:2" x14ac:dyDescent="0.25">
      <c r="A41" t="s">
        <v>413</v>
      </c>
      <c r="B41">
        <v>16</v>
      </c>
    </row>
    <row r="42" spans="1:2" x14ac:dyDescent="0.25">
      <c r="A42" t="s">
        <v>412</v>
      </c>
      <c r="B42">
        <v>17</v>
      </c>
    </row>
    <row r="43" spans="1:2" x14ac:dyDescent="0.25">
      <c r="A43" t="s">
        <v>232</v>
      </c>
      <c r="B43">
        <v>18</v>
      </c>
    </row>
    <row r="44" spans="1:2" x14ac:dyDescent="0.25">
      <c r="A44" t="s">
        <v>233</v>
      </c>
      <c r="B44">
        <v>19</v>
      </c>
    </row>
    <row r="45" spans="1:2" x14ac:dyDescent="0.25">
      <c r="A45" t="s">
        <v>375</v>
      </c>
      <c r="B45">
        <v>20</v>
      </c>
    </row>
    <row r="46" spans="1:2" x14ac:dyDescent="0.25">
      <c r="A46" t="s">
        <v>234</v>
      </c>
      <c r="B46">
        <v>21</v>
      </c>
    </row>
    <row r="47" spans="1:2" x14ac:dyDescent="0.25">
      <c r="A47" t="s">
        <v>235</v>
      </c>
      <c r="B47">
        <v>22</v>
      </c>
    </row>
    <row r="48" spans="1:2" x14ac:dyDescent="0.25">
      <c r="A48" t="s">
        <v>236</v>
      </c>
      <c r="B48">
        <v>23</v>
      </c>
    </row>
    <row r="49" spans="1:2" x14ac:dyDescent="0.25">
      <c r="A49" t="s">
        <v>237</v>
      </c>
      <c r="B49">
        <v>24</v>
      </c>
    </row>
    <row r="50" spans="1:2" x14ac:dyDescent="0.25">
      <c r="A50" t="s">
        <v>238</v>
      </c>
      <c r="B50">
        <v>25</v>
      </c>
    </row>
    <row r="51" spans="1:2" x14ac:dyDescent="0.25">
      <c r="A51" t="s">
        <v>239</v>
      </c>
      <c r="B51">
        <v>26</v>
      </c>
    </row>
    <row r="52" spans="1:2" x14ac:dyDescent="0.25">
      <c r="A52" t="s">
        <v>240</v>
      </c>
      <c r="B52">
        <v>27</v>
      </c>
    </row>
    <row r="53" spans="1:2" x14ac:dyDescent="0.25">
      <c r="A53" t="s">
        <v>241</v>
      </c>
      <c r="B53">
        <v>28</v>
      </c>
    </row>
    <row r="54" spans="1:2" x14ac:dyDescent="0.25">
      <c r="A54" t="s">
        <v>242</v>
      </c>
      <c r="B54">
        <v>29</v>
      </c>
    </row>
    <row r="55" spans="1:2" x14ac:dyDescent="0.25">
      <c r="A55" t="s">
        <v>243</v>
      </c>
      <c r="B55">
        <v>31</v>
      </c>
    </row>
    <row r="56" spans="1:2" x14ac:dyDescent="0.25">
      <c r="A56" t="s">
        <v>244</v>
      </c>
      <c r="B56">
        <v>32</v>
      </c>
    </row>
    <row r="57" spans="1:2" x14ac:dyDescent="0.25">
      <c r="A57" t="s">
        <v>408</v>
      </c>
      <c r="B57">
        <v>34</v>
      </c>
    </row>
    <row r="58" spans="1:2" x14ac:dyDescent="0.25">
      <c r="A58" t="s">
        <v>245</v>
      </c>
      <c r="B58">
        <v>35</v>
      </c>
    </row>
    <row r="59" spans="1:2" x14ac:dyDescent="0.25">
      <c r="A59" t="s">
        <v>246</v>
      </c>
      <c r="B59">
        <v>36</v>
      </c>
    </row>
    <row r="60" spans="1:2" x14ac:dyDescent="0.25">
      <c r="A60" t="s">
        <v>409</v>
      </c>
      <c r="B60">
        <v>37</v>
      </c>
    </row>
    <row r="61" spans="1:2" x14ac:dyDescent="0.25">
      <c r="A61" t="s">
        <v>410</v>
      </c>
      <c r="B61">
        <v>38</v>
      </c>
    </row>
    <row r="62" spans="1:2" x14ac:dyDescent="0.25">
      <c r="A62" t="s">
        <v>247</v>
      </c>
      <c r="B62">
        <v>39</v>
      </c>
    </row>
    <row r="63" spans="1:2" x14ac:dyDescent="0.25">
      <c r="A63" t="s">
        <v>248</v>
      </c>
      <c r="B63">
        <v>40</v>
      </c>
    </row>
    <row r="64" spans="1:2" x14ac:dyDescent="0.25">
      <c r="A64" t="s">
        <v>411</v>
      </c>
      <c r="B64">
        <v>41</v>
      </c>
    </row>
    <row r="65" spans="1:2" x14ac:dyDescent="0.25">
      <c r="A65" t="s">
        <v>249</v>
      </c>
      <c r="B65">
        <v>42</v>
      </c>
    </row>
    <row r="66" spans="1:2" x14ac:dyDescent="0.25">
      <c r="A66" t="s">
        <v>250</v>
      </c>
      <c r="B66">
        <v>43</v>
      </c>
    </row>
    <row r="67" spans="1:2" x14ac:dyDescent="0.25">
      <c r="A67" t="s">
        <v>251</v>
      </c>
      <c r="B67">
        <v>44</v>
      </c>
    </row>
    <row r="68" spans="1:2" x14ac:dyDescent="0.25">
      <c r="A68" t="s">
        <v>252</v>
      </c>
      <c r="B68">
        <v>45</v>
      </c>
    </row>
    <row r="69" spans="1:2" x14ac:dyDescent="0.25">
      <c r="A69" t="s">
        <v>253</v>
      </c>
      <c r="B69">
        <v>46</v>
      </c>
    </row>
    <row r="70" spans="1:2" x14ac:dyDescent="0.25">
      <c r="A70" t="s">
        <v>254</v>
      </c>
      <c r="B70">
        <v>47</v>
      </c>
    </row>
    <row r="71" spans="1:2" x14ac:dyDescent="0.25">
      <c r="A71" t="s">
        <v>255</v>
      </c>
      <c r="B71">
        <v>48</v>
      </c>
    </row>
    <row r="72" spans="1:2" x14ac:dyDescent="0.25">
      <c r="A72" t="s">
        <v>256</v>
      </c>
      <c r="B72">
        <v>49</v>
      </c>
    </row>
    <row r="73" spans="1:2" x14ac:dyDescent="0.25">
      <c r="A73" t="s">
        <v>257</v>
      </c>
      <c r="B73">
        <v>50</v>
      </c>
    </row>
    <row r="74" spans="1:2" x14ac:dyDescent="0.25">
      <c r="A74" t="s">
        <v>258</v>
      </c>
      <c r="B74">
        <v>52</v>
      </c>
    </row>
    <row r="75" spans="1:2" x14ac:dyDescent="0.25">
      <c r="A75" t="s">
        <v>259</v>
      </c>
      <c r="B75">
        <v>53</v>
      </c>
    </row>
    <row r="76" spans="1:2" x14ac:dyDescent="0.25">
      <c r="A76" t="s">
        <v>260</v>
      </c>
      <c r="B76">
        <v>54</v>
      </c>
    </row>
    <row r="77" spans="1:2" x14ac:dyDescent="0.25">
      <c r="A77" t="s">
        <v>261</v>
      </c>
      <c r="B77">
        <v>55</v>
      </c>
    </row>
    <row r="78" spans="1:2" x14ac:dyDescent="0.25">
      <c r="A78" t="s">
        <v>262</v>
      </c>
      <c r="B78">
        <v>56</v>
      </c>
    </row>
    <row r="79" spans="1:2" x14ac:dyDescent="0.25">
      <c r="A79" t="s">
        <v>263</v>
      </c>
      <c r="B79">
        <v>57</v>
      </c>
    </row>
    <row r="80" spans="1:2" x14ac:dyDescent="0.25">
      <c r="A80" t="s">
        <v>264</v>
      </c>
      <c r="B80">
        <v>58</v>
      </c>
    </row>
    <row r="81" spans="1:19" x14ac:dyDescent="0.25">
      <c r="A81" t="s">
        <v>265</v>
      </c>
      <c r="B81" t="s">
        <v>266</v>
      </c>
    </row>
    <row r="82" spans="1:19" x14ac:dyDescent="0.25">
      <c r="A82" t="s">
        <v>267</v>
      </c>
      <c r="B82" s="97" t="s">
        <v>387</v>
      </c>
    </row>
    <row r="83" spans="1:19" x14ac:dyDescent="0.25">
      <c r="A83" t="s">
        <v>268</v>
      </c>
      <c r="B83" s="97" t="s">
        <v>388</v>
      </c>
    </row>
    <row r="84" spans="1:19" x14ac:dyDescent="0.25">
      <c r="A84" t="s">
        <v>269</v>
      </c>
      <c r="B84" s="97" t="s">
        <v>389</v>
      </c>
    </row>
    <row r="85" spans="1:19" x14ac:dyDescent="0.25">
      <c r="A85" t="s">
        <v>270</v>
      </c>
      <c r="B85" s="97" t="s">
        <v>390</v>
      </c>
    </row>
    <row r="86" spans="1:19" x14ac:dyDescent="0.25">
      <c r="A86" t="s">
        <v>271</v>
      </c>
      <c r="B86" s="97" t="s">
        <v>391</v>
      </c>
    </row>
    <row r="87" spans="1:19" x14ac:dyDescent="0.25">
      <c r="A87" t="s">
        <v>272</v>
      </c>
      <c r="B87" s="97" t="s">
        <v>392</v>
      </c>
    </row>
    <row r="88" spans="1:19" x14ac:dyDescent="0.25">
      <c r="A88" t="s">
        <v>273</v>
      </c>
      <c r="B88" s="97" t="s">
        <v>374</v>
      </c>
    </row>
    <row r="89" spans="1:19" x14ac:dyDescent="0.25">
      <c r="A89" t="s">
        <v>274</v>
      </c>
      <c r="B89" s="97" t="s">
        <v>393</v>
      </c>
    </row>
    <row r="90" spans="1:19" x14ac:dyDescent="0.25">
      <c r="A90" t="s">
        <v>275</v>
      </c>
      <c r="B90" s="97" t="s">
        <v>394</v>
      </c>
    </row>
    <row r="91" spans="1:19" x14ac:dyDescent="0.25">
      <c r="A91" t="s">
        <v>276</v>
      </c>
      <c r="B91" t="s">
        <v>57</v>
      </c>
      <c r="C91" t="s">
        <v>101</v>
      </c>
      <c r="D91" t="s">
        <v>52</v>
      </c>
      <c r="E91" t="s">
        <v>130</v>
      </c>
      <c r="F91" t="s">
        <v>42</v>
      </c>
      <c r="G91" t="s">
        <v>47</v>
      </c>
      <c r="H91" t="s">
        <v>71</v>
      </c>
      <c r="I91" t="s">
        <v>40</v>
      </c>
      <c r="J91" t="s">
        <v>67</v>
      </c>
      <c r="K91" t="s">
        <v>119</v>
      </c>
      <c r="L91" t="s">
        <v>62</v>
      </c>
      <c r="M91" t="s">
        <v>80</v>
      </c>
      <c r="N91" t="s">
        <v>121</v>
      </c>
      <c r="O91" t="s">
        <v>146</v>
      </c>
      <c r="P91" t="s">
        <v>399</v>
      </c>
      <c r="Q91" t="s">
        <v>400</v>
      </c>
      <c r="R91" t="s">
        <v>373</v>
      </c>
      <c r="S91" t="s">
        <v>401</v>
      </c>
    </row>
    <row r="92" spans="1:19" x14ac:dyDescent="0.25">
      <c r="A92" t="s">
        <v>277</v>
      </c>
      <c r="B92">
        <v>1</v>
      </c>
    </row>
    <row r="93" spans="1:19" x14ac:dyDescent="0.25">
      <c r="A93" t="s">
        <v>278</v>
      </c>
      <c r="B93">
        <v>2</v>
      </c>
    </row>
    <row r="94" spans="1:19" x14ac:dyDescent="0.25">
      <c r="A94" t="s">
        <v>279</v>
      </c>
      <c r="B94">
        <v>3</v>
      </c>
    </row>
    <row r="95" spans="1:19" x14ac:dyDescent="0.25">
      <c r="A95" t="s">
        <v>280</v>
      </c>
      <c r="B95">
        <v>4</v>
      </c>
    </row>
    <row r="96" spans="1:19" x14ac:dyDescent="0.25">
      <c r="A96" t="s">
        <v>281</v>
      </c>
      <c r="B96">
        <v>5</v>
      </c>
    </row>
    <row r="97" spans="1:2" x14ac:dyDescent="0.25">
      <c r="A97" t="s">
        <v>282</v>
      </c>
      <c r="B97">
        <v>6</v>
      </c>
    </row>
    <row r="98" spans="1:2" x14ac:dyDescent="0.25">
      <c r="A98" t="s">
        <v>283</v>
      </c>
      <c r="B98">
        <v>7</v>
      </c>
    </row>
    <row r="99" spans="1:2" x14ac:dyDescent="0.25">
      <c r="A99" t="s">
        <v>284</v>
      </c>
      <c r="B99">
        <v>8</v>
      </c>
    </row>
    <row r="100" spans="1:2" x14ac:dyDescent="0.25">
      <c r="A100" t="s">
        <v>285</v>
      </c>
      <c r="B100">
        <v>10</v>
      </c>
    </row>
    <row r="101" spans="1:2" x14ac:dyDescent="0.25">
      <c r="A101" t="s">
        <v>286</v>
      </c>
      <c r="B101">
        <v>11</v>
      </c>
    </row>
    <row r="102" spans="1:2" x14ac:dyDescent="0.25">
      <c r="A102" t="s">
        <v>402</v>
      </c>
      <c r="B102">
        <v>13</v>
      </c>
    </row>
    <row r="103" spans="1:2" x14ac:dyDescent="0.25">
      <c r="A103" t="s">
        <v>287</v>
      </c>
      <c r="B103">
        <v>14</v>
      </c>
    </row>
    <row r="104" spans="1:2" x14ac:dyDescent="0.25">
      <c r="A104" t="s">
        <v>288</v>
      </c>
      <c r="B104">
        <v>15</v>
      </c>
    </row>
    <row r="105" spans="1:2" x14ac:dyDescent="0.25">
      <c r="A105" t="s">
        <v>403</v>
      </c>
      <c r="B105">
        <v>16</v>
      </c>
    </row>
    <row r="106" spans="1:2" x14ac:dyDescent="0.25">
      <c r="A106" t="s">
        <v>404</v>
      </c>
      <c r="B106">
        <v>17</v>
      </c>
    </row>
    <row r="107" spans="1:2" x14ac:dyDescent="0.25">
      <c r="A107" t="s">
        <v>289</v>
      </c>
      <c r="B107">
        <v>18</v>
      </c>
    </row>
    <row r="108" spans="1:2" x14ac:dyDescent="0.25">
      <c r="A108" t="s">
        <v>290</v>
      </c>
      <c r="B108">
        <v>19</v>
      </c>
    </row>
    <row r="109" spans="1:2" x14ac:dyDescent="0.25">
      <c r="A109" t="s">
        <v>371</v>
      </c>
      <c r="B109">
        <v>20</v>
      </c>
    </row>
    <row r="110" spans="1:2" x14ac:dyDescent="0.25">
      <c r="A110" t="s">
        <v>291</v>
      </c>
      <c r="B110">
        <v>21</v>
      </c>
    </row>
    <row r="111" spans="1:2" x14ac:dyDescent="0.25">
      <c r="A111" t="s">
        <v>292</v>
      </c>
      <c r="B111">
        <v>22</v>
      </c>
    </row>
    <row r="112" spans="1:2" x14ac:dyDescent="0.25">
      <c r="A112" t="s">
        <v>293</v>
      </c>
      <c r="B112">
        <v>23</v>
      </c>
    </row>
    <row r="113" spans="1:2" x14ac:dyDescent="0.25">
      <c r="A113" t="s">
        <v>294</v>
      </c>
      <c r="B113">
        <v>24</v>
      </c>
    </row>
    <row r="114" spans="1:2" x14ac:dyDescent="0.25">
      <c r="A114" t="s">
        <v>295</v>
      </c>
      <c r="B114">
        <v>25</v>
      </c>
    </row>
    <row r="115" spans="1:2" x14ac:dyDescent="0.25">
      <c r="A115" t="s">
        <v>296</v>
      </c>
      <c r="B115">
        <v>26</v>
      </c>
    </row>
    <row r="116" spans="1:2" x14ac:dyDescent="0.25">
      <c r="A116" t="s">
        <v>297</v>
      </c>
      <c r="B116">
        <v>27</v>
      </c>
    </row>
    <row r="117" spans="1:2" x14ac:dyDescent="0.25">
      <c r="A117" t="s">
        <v>298</v>
      </c>
      <c r="B117">
        <v>28</v>
      </c>
    </row>
    <row r="118" spans="1:2" x14ac:dyDescent="0.25">
      <c r="A118" t="s">
        <v>299</v>
      </c>
      <c r="B118">
        <v>29</v>
      </c>
    </row>
    <row r="119" spans="1:2" x14ac:dyDescent="0.25">
      <c r="A119" t="s">
        <v>300</v>
      </c>
      <c r="B119">
        <v>31</v>
      </c>
    </row>
    <row r="120" spans="1:2" x14ac:dyDescent="0.25">
      <c r="A120" t="s">
        <v>301</v>
      </c>
      <c r="B120">
        <v>32</v>
      </c>
    </row>
    <row r="121" spans="1:2" x14ac:dyDescent="0.25">
      <c r="A121" t="s">
        <v>405</v>
      </c>
      <c r="B121">
        <v>34</v>
      </c>
    </row>
    <row r="122" spans="1:2" x14ac:dyDescent="0.25">
      <c r="A122" t="s">
        <v>302</v>
      </c>
      <c r="B122">
        <v>35</v>
      </c>
    </row>
    <row r="123" spans="1:2" x14ac:dyDescent="0.25">
      <c r="A123" t="s">
        <v>303</v>
      </c>
      <c r="B123">
        <v>36</v>
      </c>
    </row>
    <row r="124" spans="1:2" x14ac:dyDescent="0.25">
      <c r="A124" t="s">
        <v>406</v>
      </c>
      <c r="B124">
        <v>37</v>
      </c>
    </row>
    <row r="125" spans="1:2" x14ac:dyDescent="0.25">
      <c r="A125" t="s">
        <v>407</v>
      </c>
      <c r="B125">
        <v>38</v>
      </c>
    </row>
    <row r="126" spans="1:2" x14ac:dyDescent="0.25">
      <c r="A126" t="s">
        <v>304</v>
      </c>
      <c r="B126">
        <v>39</v>
      </c>
    </row>
    <row r="127" spans="1:2" x14ac:dyDescent="0.25">
      <c r="A127" t="s">
        <v>305</v>
      </c>
      <c r="B127">
        <v>40</v>
      </c>
    </row>
    <row r="128" spans="1:2" x14ac:dyDescent="0.25">
      <c r="A128" t="s">
        <v>372</v>
      </c>
      <c r="B128">
        <v>41</v>
      </c>
    </row>
    <row r="129" spans="1:2" x14ac:dyDescent="0.25">
      <c r="A129" t="s">
        <v>306</v>
      </c>
      <c r="B129">
        <v>42</v>
      </c>
    </row>
    <row r="130" spans="1:2" x14ac:dyDescent="0.25">
      <c r="A130" t="s">
        <v>307</v>
      </c>
      <c r="B130">
        <v>43</v>
      </c>
    </row>
    <row r="131" spans="1:2" x14ac:dyDescent="0.25">
      <c r="A131" t="s">
        <v>308</v>
      </c>
      <c r="B131">
        <v>44</v>
      </c>
    </row>
    <row r="132" spans="1:2" x14ac:dyDescent="0.25">
      <c r="A132" t="s">
        <v>309</v>
      </c>
      <c r="B132">
        <v>45</v>
      </c>
    </row>
    <row r="133" spans="1:2" x14ac:dyDescent="0.25">
      <c r="A133" t="s">
        <v>310</v>
      </c>
      <c r="B133">
        <v>46</v>
      </c>
    </row>
    <row r="134" spans="1:2" x14ac:dyDescent="0.25">
      <c r="A134" t="s">
        <v>311</v>
      </c>
      <c r="B134">
        <v>47</v>
      </c>
    </row>
    <row r="135" spans="1:2" x14ac:dyDescent="0.25">
      <c r="A135" t="s">
        <v>312</v>
      </c>
      <c r="B135">
        <v>48</v>
      </c>
    </row>
    <row r="136" spans="1:2" x14ac:dyDescent="0.25">
      <c r="A136" t="s">
        <v>313</v>
      </c>
      <c r="B136">
        <v>49</v>
      </c>
    </row>
    <row r="137" spans="1:2" x14ac:dyDescent="0.25">
      <c r="A137" t="s">
        <v>314</v>
      </c>
      <c r="B137">
        <v>50</v>
      </c>
    </row>
    <row r="138" spans="1:2" x14ac:dyDescent="0.25">
      <c r="A138" t="s">
        <v>315</v>
      </c>
      <c r="B138">
        <v>52</v>
      </c>
    </row>
    <row r="139" spans="1:2" x14ac:dyDescent="0.25">
      <c r="A139" t="s">
        <v>316</v>
      </c>
      <c r="B139">
        <v>53</v>
      </c>
    </row>
    <row r="140" spans="1:2" x14ac:dyDescent="0.25">
      <c r="A140" t="s">
        <v>317</v>
      </c>
      <c r="B140">
        <v>54</v>
      </c>
    </row>
    <row r="141" spans="1:2" x14ac:dyDescent="0.25">
      <c r="A141" t="s">
        <v>318</v>
      </c>
      <c r="B141">
        <v>55</v>
      </c>
    </row>
    <row r="142" spans="1:2" x14ac:dyDescent="0.25">
      <c r="A142" t="s">
        <v>319</v>
      </c>
      <c r="B142">
        <v>56</v>
      </c>
    </row>
    <row r="143" spans="1:2" x14ac:dyDescent="0.25">
      <c r="A143" t="s">
        <v>320</v>
      </c>
      <c r="B143">
        <v>57</v>
      </c>
    </row>
    <row r="144" spans="1:2" x14ac:dyDescent="0.25">
      <c r="A144" t="s">
        <v>321</v>
      </c>
      <c r="B144">
        <v>58</v>
      </c>
    </row>
    <row r="145" spans="1:19" x14ac:dyDescent="0.25">
      <c r="A145" t="s">
        <v>322</v>
      </c>
      <c r="B145" t="s">
        <v>323</v>
      </c>
    </row>
    <row r="146" spans="1:19" x14ac:dyDescent="0.25">
      <c r="A146" t="s">
        <v>324</v>
      </c>
      <c r="B146" s="97" t="s">
        <v>378</v>
      </c>
    </row>
    <row r="147" spans="1:19" x14ac:dyDescent="0.25">
      <c r="A147" t="s">
        <v>325</v>
      </c>
      <c r="B147" s="97" t="s">
        <v>379</v>
      </c>
    </row>
    <row r="148" spans="1:19" x14ac:dyDescent="0.25">
      <c r="A148" t="s">
        <v>326</v>
      </c>
      <c r="B148" s="97" t="s">
        <v>380</v>
      </c>
    </row>
    <row r="149" spans="1:19" x14ac:dyDescent="0.25">
      <c r="A149" t="s">
        <v>327</v>
      </c>
      <c r="B149" s="97" t="s">
        <v>381</v>
      </c>
    </row>
    <row r="150" spans="1:19" x14ac:dyDescent="0.25">
      <c r="A150" t="s">
        <v>328</v>
      </c>
      <c r="B150" s="97" t="s">
        <v>382</v>
      </c>
    </row>
    <row r="151" spans="1:19" x14ac:dyDescent="0.25">
      <c r="A151" t="s">
        <v>329</v>
      </c>
      <c r="B151" s="97" t="s">
        <v>383</v>
      </c>
    </row>
    <row r="152" spans="1:19" x14ac:dyDescent="0.25">
      <c r="A152" t="s">
        <v>330</v>
      </c>
      <c r="B152" s="97" t="s">
        <v>384</v>
      </c>
    </row>
    <row r="153" spans="1:19" x14ac:dyDescent="0.25">
      <c r="A153" t="s">
        <v>331</v>
      </c>
      <c r="B153" s="97" t="s">
        <v>385</v>
      </c>
    </row>
    <row r="154" spans="1:19" x14ac:dyDescent="0.25">
      <c r="A154" t="s">
        <v>332</v>
      </c>
      <c r="B154" s="97" t="s">
        <v>386</v>
      </c>
    </row>
    <row r="155" spans="1:19" x14ac:dyDescent="0.25">
      <c r="A155" t="s">
        <v>333</v>
      </c>
      <c r="B155" t="s">
        <v>57</v>
      </c>
      <c r="C155" t="s">
        <v>101</v>
      </c>
      <c r="D155" t="s">
        <v>52</v>
      </c>
      <c r="E155" t="s">
        <v>130</v>
      </c>
      <c r="F155" t="s">
        <v>42</v>
      </c>
      <c r="G155" t="s">
        <v>47</v>
      </c>
      <c r="H155" t="s">
        <v>71</v>
      </c>
      <c r="I155" t="s">
        <v>40</v>
      </c>
      <c r="J155" t="s">
        <v>67</v>
      </c>
      <c r="K155" t="s">
        <v>119</v>
      </c>
      <c r="L155" t="s">
        <v>62</v>
      </c>
      <c r="M155" t="s">
        <v>80</v>
      </c>
      <c r="N155" t="s">
        <v>121</v>
      </c>
      <c r="O155" t="s">
        <v>146</v>
      </c>
      <c r="P155" t="s">
        <v>399</v>
      </c>
      <c r="Q155" t="s">
        <v>400</v>
      </c>
      <c r="R155" t="s">
        <v>373</v>
      </c>
      <c r="S155" t="s">
        <v>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80" zoomScaleNormal="80" workbookViewId="0">
      <pane xSplit="2" ySplit="4" topLeftCell="AP5" activePane="bottomRight" state="frozen"/>
      <selection pane="topRight" activeCell="C1" sqref="C1"/>
      <selection pane="bottomLeft" activeCell="A5" sqref="A5"/>
      <selection pane="bottomRight" sqref="A1:H1"/>
    </sheetView>
  </sheetViews>
  <sheetFormatPr defaultColWidth="9.140625" defaultRowHeight="15" outlineLevelRow="1" x14ac:dyDescent="0.25"/>
  <cols>
    <col min="2" max="2" width="24.7109375" customWidth="1"/>
    <col min="4" max="5" width="10.7109375" customWidth="1"/>
    <col min="9" max="9" width="1.7109375" customWidth="1"/>
    <col min="11" max="11" width="10.7109375" customWidth="1"/>
    <col min="12" max="13" width="12.5703125" customWidth="1"/>
    <col min="14" max="14" width="10.7109375" customWidth="1"/>
    <col min="15" max="20" width="12.7109375" customWidth="1"/>
    <col min="21" max="27" width="11.7109375" customWidth="1"/>
    <col min="30" max="30" width="1.7109375" customWidth="1"/>
    <col min="32" max="32" width="10.7109375" customWidth="1"/>
    <col min="33" max="34" width="12.5703125" customWidth="1"/>
    <col min="35" max="35" width="10.7109375" customWidth="1"/>
    <col min="36" max="41" width="12.7109375" customWidth="1"/>
    <col min="42" max="48" width="11.7109375" customWidth="1"/>
    <col min="51" max="51" width="1.7109375" customWidth="1"/>
    <col min="54" max="58" width="11.7109375" customWidth="1"/>
    <col min="59" max="59" width="1.7109375" customWidth="1"/>
    <col min="62" max="66" width="11.7109375" customWidth="1"/>
    <col min="67" max="67" width="1.7109375" customWidth="1"/>
  </cols>
  <sheetData>
    <row r="1" spans="1:72" x14ac:dyDescent="0.25">
      <c r="A1" s="118" t="s">
        <v>334</v>
      </c>
      <c r="B1" s="106"/>
      <c r="C1" s="106"/>
      <c r="D1" s="106"/>
      <c r="E1" s="106"/>
      <c r="F1" s="106"/>
      <c r="G1" s="106"/>
      <c r="H1" s="106"/>
      <c r="J1" s="114" t="str">
        <f>Summary!C1</f>
        <v>anchor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 t="str">
        <f>Summary!C2</f>
        <v>proposal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3">
      <c r="A2" s="117" t="s">
        <v>151</v>
      </c>
      <c r="B2" s="116" t="s">
        <v>152</v>
      </c>
      <c r="C2" s="117" t="s">
        <v>335</v>
      </c>
      <c r="D2" s="116" t="s">
        <v>153</v>
      </c>
      <c r="E2" s="117" t="s">
        <v>154</v>
      </c>
      <c r="F2" s="116" t="s">
        <v>155</v>
      </c>
      <c r="G2" s="117" t="s">
        <v>156</v>
      </c>
      <c r="H2" s="116" t="s">
        <v>336</v>
      </c>
      <c r="J2" s="117" t="s">
        <v>127</v>
      </c>
      <c r="K2" s="116" t="s">
        <v>131</v>
      </c>
      <c r="L2" s="122" t="s">
        <v>120</v>
      </c>
      <c r="M2" s="116" t="s">
        <v>370</v>
      </c>
      <c r="N2" s="117" t="s">
        <v>81</v>
      </c>
      <c r="O2" s="144" t="s">
        <v>120</v>
      </c>
      <c r="P2" s="120" t="s">
        <v>425</v>
      </c>
      <c r="Q2" s="120" t="s">
        <v>426</v>
      </c>
      <c r="R2" s="120" t="s">
        <v>427</v>
      </c>
      <c r="S2" s="120" t="s">
        <v>428</v>
      </c>
      <c r="T2" s="120" t="s">
        <v>429</v>
      </c>
      <c r="U2" s="119" t="s">
        <v>337</v>
      </c>
      <c r="V2" s="106"/>
      <c r="W2" s="106"/>
      <c r="X2" s="106"/>
      <c r="Y2" s="106"/>
      <c r="Z2" s="120" t="s">
        <v>338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370</v>
      </c>
      <c r="AI2" s="117" t="s">
        <v>81</v>
      </c>
      <c r="AJ2" s="116" t="s">
        <v>120</v>
      </c>
      <c r="AK2" s="120" t="s">
        <v>425</v>
      </c>
      <c r="AL2" s="120" t="s">
        <v>426</v>
      </c>
      <c r="AM2" s="120" t="s">
        <v>427</v>
      </c>
      <c r="AN2" s="120" t="s">
        <v>428</v>
      </c>
      <c r="AO2" s="120" t="s">
        <v>429</v>
      </c>
      <c r="AP2" s="119" t="s">
        <v>337</v>
      </c>
      <c r="AQ2" s="106"/>
      <c r="AR2" s="106"/>
      <c r="AS2" s="106"/>
      <c r="AT2" s="106"/>
      <c r="AU2" s="120" t="s">
        <v>338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415</v>
      </c>
      <c r="BI2" s="119"/>
      <c r="BJ2" s="121" t="s">
        <v>416</v>
      </c>
      <c r="BK2" s="121"/>
      <c r="BL2" s="121"/>
      <c r="BM2" s="117" t="s">
        <v>419</v>
      </c>
      <c r="BN2" s="116" t="s">
        <v>418</v>
      </c>
      <c r="BP2" s="117" t="s">
        <v>420</v>
      </c>
      <c r="BQ2" s="117" t="s">
        <v>421</v>
      </c>
      <c r="BR2" s="117" t="s">
        <v>423</v>
      </c>
      <c r="BS2" s="117" t="s">
        <v>422</v>
      </c>
      <c r="BT2" s="117" t="s">
        <v>424</v>
      </c>
    </row>
    <row r="3" spans="1:72" ht="33" customHeight="1" thickBot="1" x14ac:dyDescent="0.3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16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1.5" hidden="1" customHeight="1" thickBot="1" x14ac:dyDescent="0.3">
      <c r="A4" s="15" t="s">
        <v>160</v>
      </c>
      <c r="B4" s="16" t="s">
        <v>161</v>
      </c>
      <c r="C4" s="15" t="s">
        <v>339</v>
      </c>
      <c r="D4" s="16" t="s">
        <v>162</v>
      </c>
      <c r="E4" s="15" t="s">
        <v>163</v>
      </c>
      <c r="F4" s="16" t="s">
        <v>164</v>
      </c>
      <c r="G4" s="15" t="s">
        <v>165</v>
      </c>
      <c r="H4" s="16" t="s">
        <v>340</v>
      </c>
      <c r="J4" s="15" t="s">
        <v>166</v>
      </c>
      <c r="K4" s="16" t="s">
        <v>167</v>
      </c>
      <c r="L4" s="16"/>
      <c r="M4" s="16"/>
      <c r="N4" s="15" t="s">
        <v>341</v>
      </c>
      <c r="O4" s="16" t="s">
        <v>168</v>
      </c>
      <c r="P4" s="16"/>
      <c r="Q4" s="16"/>
      <c r="R4" s="16"/>
      <c r="S4" s="16"/>
      <c r="T4" s="16"/>
      <c r="U4" s="15" t="s">
        <v>342</v>
      </c>
      <c r="V4" s="15" t="s">
        <v>343</v>
      </c>
      <c r="W4" s="15" t="s">
        <v>344</v>
      </c>
      <c r="X4" s="15" t="s">
        <v>345</v>
      </c>
      <c r="Y4" s="15" t="s">
        <v>346</v>
      </c>
      <c r="Z4" s="16" t="s">
        <v>347</v>
      </c>
      <c r="AA4" s="16" t="s">
        <v>348</v>
      </c>
      <c r="AB4" s="15" t="s">
        <v>169</v>
      </c>
      <c r="AC4" s="16" t="s">
        <v>170</v>
      </c>
      <c r="AE4" s="15" t="s">
        <v>171</v>
      </c>
      <c r="AF4" s="16" t="s">
        <v>172</v>
      </c>
      <c r="AG4" s="16"/>
      <c r="AH4" s="16"/>
      <c r="AI4" s="15" t="s">
        <v>349</v>
      </c>
      <c r="AJ4" s="16" t="s">
        <v>173</v>
      </c>
      <c r="AK4" s="16"/>
      <c r="AL4" s="16"/>
      <c r="AM4" s="16"/>
      <c r="AN4" s="16"/>
      <c r="AO4" s="16"/>
      <c r="AP4" s="15" t="s">
        <v>350</v>
      </c>
      <c r="AQ4" s="15" t="s">
        <v>351</v>
      </c>
      <c r="AR4" s="15" t="s">
        <v>352</v>
      </c>
      <c r="AS4" s="15" t="s">
        <v>353</v>
      </c>
      <c r="AT4" s="15" t="s">
        <v>354</v>
      </c>
      <c r="AU4" s="16" t="s">
        <v>355</v>
      </c>
      <c r="AV4" s="16" t="s">
        <v>356</v>
      </c>
      <c r="AW4" s="15" t="s">
        <v>174</v>
      </c>
      <c r="AX4" s="16" t="s">
        <v>175</v>
      </c>
      <c r="AZ4" s="15" t="s">
        <v>357</v>
      </c>
      <c r="BA4" s="15" t="s">
        <v>358</v>
      </c>
      <c r="BB4" s="15" t="s">
        <v>359</v>
      </c>
      <c r="BC4" s="15" t="s">
        <v>360</v>
      </c>
      <c r="BD4" s="15" t="s">
        <v>361</v>
      </c>
      <c r="BE4" s="16" t="s">
        <v>362</v>
      </c>
      <c r="BF4" s="16" t="s">
        <v>363</v>
      </c>
      <c r="BH4" s="15" t="s">
        <v>357</v>
      </c>
      <c r="BI4" s="15" t="s">
        <v>358</v>
      </c>
      <c r="BJ4" s="15" t="s">
        <v>359</v>
      </c>
      <c r="BK4" s="15" t="s">
        <v>360</v>
      </c>
      <c r="BL4" s="15" t="s">
        <v>361</v>
      </c>
      <c r="BM4" s="16" t="s">
        <v>362</v>
      </c>
      <c r="BN4" s="16" t="s">
        <v>363</v>
      </c>
    </row>
    <row r="5" spans="1:72" ht="15" customHeight="1" x14ac:dyDescent="0.25">
      <c r="A5" s="17" t="s">
        <v>177</v>
      </c>
      <c r="B5" s="17" t="s">
        <v>38</v>
      </c>
      <c r="C5" s="19" t="s">
        <v>364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 t="str">
        <f t="shared" ref="J5:J44" si="0">IF(OR(ISBLANK(O5),ISBLANK(G5)),"·",O5*G5/F5/1000000)</f>
        <v>·</v>
      </c>
      <c r="K5" s="21" t="str">
        <f t="shared" ref="K5:K44" si="1">IF(ISBLANK(O5),"·",O5/D5)</f>
        <v>·</v>
      </c>
      <c r="L5" s="19" t="str">
        <f>IF(OR(ISBLANK(M5),ISBLANK(S5),ISBLANK(T5)),".",M5+S5+T5)</f>
        <v>.</v>
      </c>
      <c r="M5" s="19" t="str">
        <f t="shared" ref="M5:M44" si="2">IF(OR(ISBLANK(Q5),ISBLANK(P5),ISBLANK(R5)),".",P5+Q5+R5)</f>
        <v>.</v>
      </c>
      <c r="N5" s="44"/>
      <c r="O5" s="22"/>
      <c r="P5" s="22"/>
      <c r="Q5" s="22"/>
      <c r="R5" s="22"/>
      <c r="S5" s="22"/>
      <c r="T5" s="22"/>
      <c r="U5" s="45"/>
      <c r="V5" s="45"/>
      <c r="W5" s="45"/>
      <c r="X5" s="45"/>
      <c r="Y5" s="45"/>
      <c r="Z5" s="45"/>
      <c r="AA5" s="45"/>
      <c r="AB5" s="23"/>
      <c r="AC5" s="23"/>
      <c r="AE5" s="20" t="str">
        <f t="shared" ref="AE5:AE44" si="3">IF(OR(ISBLANK(AJ5),ISBLANK(G5)),"·",AJ5*G5/F5/1000000)</f>
        <v>·</v>
      </c>
      <c r="AF5" s="21" t="str">
        <f t="shared" ref="AF5:AF44" si="4">IF(ISBLANK(AJ5),"·",AJ5/D5)</f>
        <v>·</v>
      </c>
      <c r="AG5" s="19" t="str">
        <f>IF(OR(ISBLANK(AH5),ISBLANK(AN5),ISBLANK(AO5)),".",AH5+AN5+AO5)</f>
        <v>.</v>
      </c>
      <c r="AH5" s="19" t="str">
        <f t="shared" ref="AH5:AH44" si="5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6">IF(AND(AK5=0,AK5=0),0,AK5/P5-1)</f>
        <v>0</v>
      </c>
      <c r="BQ5" s="24">
        <f t="shared" ref="BQ5:BQ44" si="7">IF(AND(AL5=0,AL5=0),0,AL5/Q5-1)</f>
        <v>0</v>
      </c>
      <c r="BR5" s="24">
        <f t="shared" ref="BR5:BR44" si="8">IF(AND(AM5=0,AM5=0),0,AM5/R5-1)</f>
        <v>0</v>
      </c>
      <c r="BS5" s="24">
        <f t="shared" ref="BS5:BT44" si="9">IF(AND(AN5=0,AN5=0),0,AN5/S5-1)</f>
        <v>0</v>
      </c>
      <c r="BT5" s="24">
        <f t="shared" si="9"/>
        <v>0</v>
      </c>
    </row>
    <row r="6" spans="1:72" ht="15" customHeight="1" outlineLevel="1" x14ac:dyDescent="0.25">
      <c r="A6" s="33"/>
      <c r="B6" s="33" t="s">
        <v>38</v>
      </c>
      <c r="C6" s="35" t="s">
        <v>365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 t="str">
        <f t="shared" si="0"/>
        <v>·</v>
      </c>
      <c r="K6" s="37" t="str">
        <f t="shared" si="1"/>
        <v>·</v>
      </c>
      <c r="L6" s="35" t="str">
        <f>IF(OR(ISBLANK(M6),ISBLANK(S6),ISBLANK(T6)),".",M6+S6+T6)</f>
        <v>.</v>
      </c>
      <c r="M6" s="35" t="str">
        <f t="shared" si="2"/>
        <v>.</v>
      </c>
      <c r="N6" s="46"/>
      <c r="O6" s="38"/>
      <c r="P6" s="38"/>
      <c r="Q6" s="38"/>
      <c r="R6" s="38"/>
      <c r="S6" s="38"/>
      <c r="T6" s="38"/>
      <c r="U6" s="47"/>
      <c r="V6" s="47"/>
      <c r="W6" s="47"/>
      <c r="X6" s="47"/>
      <c r="Y6" s="47"/>
      <c r="Z6" s="47"/>
      <c r="AA6" s="47"/>
      <c r="AB6" s="39"/>
      <c r="AC6" s="39"/>
      <c r="AE6" s="36" t="str">
        <f t="shared" si="3"/>
        <v>·</v>
      </c>
      <c r="AF6" s="37" t="str">
        <f t="shared" si="4"/>
        <v>·</v>
      </c>
      <c r="AG6" s="35" t="str">
        <f>IF(OR(ISBLANK(AH6),ISBLANK(AN6),ISBLANK(AO6)),".",AH6+AN6+AO6)</f>
        <v>.</v>
      </c>
      <c r="AH6" s="35" t="str">
        <f t="shared" si="5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6"/>
        <v>0</v>
      </c>
      <c r="BQ6" s="40">
        <f t="shared" si="7"/>
        <v>0</v>
      </c>
      <c r="BR6" s="40">
        <f t="shared" si="8"/>
        <v>0</v>
      </c>
      <c r="BS6" s="40">
        <f t="shared" si="9"/>
        <v>0</v>
      </c>
      <c r="BT6" s="40">
        <f t="shared" si="9"/>
        <v>0</v>
      </c>
    </row>
    <row r="7" spans="1:72" ht="15" customHeight="1" outlineLevel="1" x14ac:dyDescent="0.25">
      <c r="A7" s="17"/>
      <c r="B7" s="17" t="s">
        <v>38</v>
      </c>
      <c r="C7" s="19" t="s">
        <v>366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 t="str">
        <f t="shared" si="0"/>
        <v>·</v>
      </c>
      <c r="K7" s="21" t="str">
        <f t="shared" si="1"/>
        <v>·</v>
      </c>
      <c r="L7" s="19" t="str">
        <f>IF(OR(ISBLANK(M7),ISBLANK(S7),ISBLANK(T7)),".",M7+S7+T7)</f>
        <v>.</v>
      </c>
      <c r="M7" s="19" t="str">
        <f t="shared" si="2"/>
        <v>.</v>
      </c>
      <c r="N7" s="44"/>
      <c r="O7" s="22"/>
      <c r="P7" s="22"/>
      <c r="Q7" s="22"/>
      <c r="R7" s="22"/>
      <c r="S7" s="22"/>
      <c r="T7" s="22"/>
      <c r="U7" s="45"/>
      <c r="V7" s="45"/>
      <c r="W7" s="45"/>
      <c r="X7" s="45"/>
      <c r="Y7" s="45"/>
      <c r="Z7" s="45"/>
      <c r="AA7" s="45"/>
      <c r="AB7" s="23"/>
      <c r="AC7" s="23"/>
      <c r="AE7" s="20" t="str">
        <f t="shared" si="3"/>
        <v>·</v>
      </c>
      <c r="AF7" s="21" t="str">
        <f t="shared" si="4"/>
        <v>·</v>
      </c>
      <c r="AG7" s="19" t="str">
        <f>IF(OR(ISBLANK(AH7),ISBLANK(AN7),ISBLANK(AO7)),".",AH7+AN7+AO7)</f>
        <v>.</v>
      </c>
      <c r="AH7" s="19" t="str">
        <f t="shared" si="5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6"/>
        <v>0</v>
      </c>
      <c r="BQ7" s="24">
        <f t="shared" si="7"/>
        <v>0</v>
      </c>
      <c r="BR7" s="24">
        <f t="shared" si="8"/>
        <v>0</v>
      </c>
      <c r="BS7" s="24">
        <f t="shared" si="9"/>
        <v>0</v>
      </c>
      <c r="BT7" s="24">
        <f t="shared" si="9"/>
        <v>0</v>
      </c>
    </row>
    <row r="8" spans="1:72" ht="15" customHeight="1" outlineLevel="1" x14ac:dyDescent="0.25">
      <c r="A8" s="33"/>
      <c r="B8" s="33" t="s">
        <v>38</v>
      </c>
      <c r="C8" s="35" t="s">
        <v>367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 t="str">
        <f t="shared" si="0"/>
        <v>·</v>
      </c>
      <c r="K8" s="37" t="str">
        <f t="shared" si="1"/>
        <v>·</v>
      </c>
      <c r="L8" s="35" t="str">
        <f>IF(OR(ISBLANK(M8),ISBLANK(S8),ISBLANK(T8)),".",M8+S8+T8)</f>
        <v>.</v>
      </c>
      <c r="M8" s="35" t="str">
        <f t="shared" si="2"/>
        <v>.</v>
      </c>
      <c r="N8" s="46"/>
      <c r="O8" s="38"/>
      <c r="P8" s="38"/>
      <c r="Q8" s="38"/>
      <c r="R8" s="38"/>
      <c r="S8" s="38"/>
      <c r="T8" s="38"/>
      <c r="U8" s="47"/>
      <c r="V8" s="47"/>
      <c r="W8" s="47"/>
      <c r="X8" s="47"/>
      <c r="Y8" s="47"/>
      <c r="Z8" s="47"/>
      <c r="AA8" s="47"/>
      <c r="AB8" s="39"/>
      <c r="AC8" s="39"/>
      <c r="AE8" s="36" t="str">
        <f t="shared" si="3"/>
        <v>·</v>
      </c>
      <c r="AF8" s="37" t="str">
        <f t="shared" si="4"/>
        <v>·</v>
      </c>
      <c r="AG8" s="35" t="str">
        <f>IF(OR(ISBLANK(AH8),ISBLANK(AN8),ISBLANK(AO8)),".",AH8+AN8+AO8)</f>
        <v>.</v>
      </c>
      <c r="AH8" s="35" t="str">
        <f t="shared" si="5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6"/>
        <v>0</v>
      </c>
      <c r="BQ8" s="40">
        <f t="shared" si="7"/>
        <v>0</v>
      </c>
      <c r="BR8" s="40">
        <f t="shared" si="8"/>
        <v>0</v>
      </c>
      <c r="BS8" s="40">
        <f t="shared" si="9"/>
        <v>0</v>
      </c>
      <c r="BT8" s="40">
        <f t="shared" si="9"/>
        <v>0</v>
      </c>
    </row>
    <row r="9" spans="1:72" ht="15.75" customHeight="1" outlineLevel="1" thickBot="1" x14ac:dyDescent="0.3">
      <c r="A9" s="17"/>
      <c r="B9" s="48" t="s">
        <v>38</v>
      </c>
      <c r="C9" s="49" t="s">
        <v>368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 t="str">
        <f t="shared" si="0"/>
        <v>·</v>
      </c>
      <c r="K9" s="52" t="str">
        <f t="shared" si="1"/>
        <v>·</v>
      </c>
      <c r="L9" s="49" t="str">
        <f>IF(OR(ISBLANK(M9),ISBLANK(S9),ISBLANK(T9)),".",M9+S9+T9)</f>
        <v>.</v>
      </c>
      <c r="M9" s="49" t="str">
        <f t="shared" si="2"/>
        <v>.</v>
      </c>
      <c r="N9" s="53"/>
      <c r="O9" s="54"/>
      <c r="P9" s="54"/>
      <c r="Q9" s="54"/>
      <c r="R9" s="54"/>
      <c r="S9" s="54"/>
      <c r="T9" s="54"/>
      <c r="U9" s="55"/>
      <c r="V9" s="55"/>
      <c r="W9" s="55"/>
      <c r="X9" s="55"/>
      <c r="Y9" s="55"/>
      <c r="Z9" s="55"/>
      <c r="AA9" s="55"/>
      <c r="AB9" s="56"/>
      <c r="AC9" s="56"/>
      <c r="AE9" s="51" t="str">
        <f t="shared" si="3"/>
        <v>·</v>
      </c>
      <c r="AF9" s="52" t="str">
        <f t="shared" si="4"/>
        <v>·</v>
      </c>
      <c r="AG9" s="49" t="str">
        <f>IF(OR(ISBLANK(AH9),ISBLANK(AN9),ISBLANK(AO9)),".",AH9+AN9+AO9)</f>
        <v>.</v>
      </c>
      <c r="AH9" s="49" t="str">
        <f t="shared" si="5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6"/>
        <v>0</v>
      </c>
      <c r="BQ9" s="57">
        <f t="shared" si="7"/>
        <v>0</v>
      </c>
      <c r="BR9" s="57">
        <f t="shared" si="8"/>
        <v>0</v>
      </c>
      <c r="BS9" s="57">
        <f t="shared" si="9"/>
        <v>0</v>
      </c>
      <c r="BT9" s="57">
        <f t="shared" si="9"/>
        <v>0</v>
      </c>
    </row>
    <row r="10" spans="1:72" ht="15" customHeight="1" x14ac:dyDescent="0.25">
      <c r="A10" s="33"/>
      <c r="B10" s="33" t="s">
        <v>46</v>
      </c>
      <c r="C10" s="35" t="s">
        <v>364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 t="str">
        <f t="shared" si="0"/>
        <v>·</v>
      </c>
      <c r="K10" s="37" t="str">
        <f t="shared" si="1"/>
        <v>·</v>
      </c>
      <c r="L10" s="35" t="str">
        <f>IF(OR(ISBLANK(M10),ISBLANK(S10),ISBLANK(T10)),".",M10+S10+T10)</f>
        <v>.</v>
      </c>
      <c r="M10" s="35" t="str">
        <f t="shared" si="2"/>
        <v>.</v>
      </c>
      <c r="N10" s="46"/>
      <c r="O10" s="38"/>
      <c r="P10" s="38"/>
      <c r="Q10" s="38"/>
      <c r="R10" s="38"/>
      <c r="S10" s="38"/>
      <c r="T10" s="38"/>
      <c r="U10" s="47"/>
      <c r="V10" s="47"/>
      <c r="W10" s="47"/>
      <c r="X10" s="47"/>
      <c r="Y10" s="47"/>
      <c r="Z10" s="47"/>
      <c r="AA10" s="47"/>
      <c r="AB10" s="39"/>
      <c r="AC10" s="39"/>
      <c r="AE10" s="36" t="str">
        <f t="shared" si="3"/>
        <v>·</v>
      </c>
      <c r="AF10" s="37" t="str">
        <f t="shared" si="4"/>
        <v>·</v>
      </c>
      <c r="AG10" s="35" t="str">
        <f>IF(OR(ISBLANK(AH10),ISBLANK(AN10),ISBLANK(AO10)),".",AH10+AN10+AO10)</f>
        <v>.</v>
      </c>
      <c r="AH10" s="35" t="str">
        <f t="shared" si="5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6"/>
        <v>0</v>
      </c>
      <c r="BQ10" s="40">
        <f t="shared" si="7"/>
        <v>0</v>
      </c>
      <c r="BR10" s="40">
        <f t="shared" si="8"/>
        <v>0</v>
      </c>
      <c r="BS10" s="40">
        <f t="shared" si="9"/>
        <v>0</v>
      </c>
      <c r="BT10" s="40">
        <f t="shared" si="9"/>
        <v>0</v>
      </c>
    </row>
    <row r="11" spans="1:72" ht="15" customHeight="1" outlineLevel="1" x14ac:dyDescent="0.25">
      <c r="A11" s="17"/>
      <c r="B11" s="17" t="s">
        <v>46</v>
      </c>
      <c r="C11" s="19" t="s">
        <v>365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 t="str">
        <f t="shared" si="0"/>
        <v>·</v>
      </c>
      <c r="K11" s="21" t="str">
        <f t="shared" si="1"/>
        <v>·</v>
      </c>
      <c r="L11" s="19" t="str">
        <f>IF(OR(ISBLANK(M11),ISBLANK(S11),ISBLANK(T11)),".",M11+S11+T11)</f>
        <v>.</v>
      </c>
      <c r="M11" s="19" t="str">
        <f t="shared" si="2"/>
        <v>.</v>
      </c>
      <c r="N11" s="44"/>
      <c r="O11" s="22"/>
      <c r="P11" s="22"/>
      <c r="Q11" s="22"/>
      <c r="R11" s="22"/>
      <c r="S11" s="22"/>
      <c r="T11" s="22"/>
      <c r="U11" s="45"/>
      <c r="V11" s="45"/>
      <c r="W11" s="45"/>
      <c r="X11" s="45"/>
      <c r="Y11" s="45"/>
      <c r="Z11" s="45"/>
      <c r="AA11" s="45"/>
      <c r="AB11" s="23"/>
      <c r="AC11" s="23"/>
      <c r="AE11" s="20" t="str">
        <f t="shared" si="3"/>
        <v>·</v>
      </c>
      <c r="AF11" s="21" t="str">
        <f t="shared" si="4"/>
        <v>·</v>
      </c>
      <c r="AG11" s="19" t="str">
        <f>IF(OR(ISBLANK(AH11),ISBLANK(AN11),ISBLANK(AO11)),".",AH11+AN11+AO11)</f>
        <v>.</v>
      </c>
      <c r="AH11" s="19" t="str">
        <f t="shared" si="5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6"/>
        <v>0</v>
      </c>
      <c r="BQ11" s="24">
        <f t="shared" si="7"/>
        <v>0</v>
      </c>
      <c r="BR11" s="24">
        <f t="shared" si="8"/>
        <v>0</v>
      </c>
      <c r="BS11" s="24">
        <f t="shared" si="9"/>
        <v>0</v>
      </c>
      <c r="BT11" s="24">
        <f t="shared" si="9"/>
        <v>0</v>
      </c>
    </row>
    <row r="12" spans="1:72" ht="15" customHeight="1" outlineLevel="1" x14ac:dyDescent="0.25">
      <c r="A12" s="33"/>
      <c r="B12" s="33" t="s">
        <v>46</v>
      </c>
      <c r="C12" s="35" t="s">
        <v>366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 t="str">
        <f t="shared" si="0"/>
        <v>·</v>
      </c>
      <c r="K12" s="37" t="str">
        <f t="shared" si="1"/>
        <v>·</v>
      </c>
      <c r="L12" s="35" t="str">
        <f>IF(OR(ISBLANK(M12),ISBLANK(S12),ISBLANK(T12)),".",M12+S12+T12)</f>
        <v>.</v>
      </c>
      <c r="M12" s="35" t="str">
        <f t="shared" si="2"/>
        <v>.</v>
      </c>
      <c r="N12" s="46"/>
      <c r="O12" s="38"/>
      <c r="P12" s="38"/>
      <c r="Q12" s="38"/>
      <c r="R12" s="38"/>
      <c r="S12" s="38"/>
      <c r="T12" s="38"/>
      <c r="U12" s="47"/>
      <c r="V12" s="47"/>
      <c r="W12" s="47"/>
      <c r="X12" s="47"/>
      <c r="Y12" s="47"/>
      <c r="Z12" s="47"/>
      <c r="AA12" s="47"/>
      <c r="AB12" s="39"/>
      <c r="AC12" s="39"/>
      <c r="AE12" s="36" t="str">
        <f t="shared" si="3"/>
        <v>·</v>
      </c>
      <c r="AF12" s="37" t="str">
        <f t="shared" si="4"/>
        <v>·</v>
      </c>
      <c r="AG12" s="35" t="str">
        <f>IF(OR(ISBLANK(AH12),ISBLANK(AN12),ISBLANK(AO12)),".",AH12+AN12+AO12)</f>
        <v>.</v>
      </c>
      <c r="AH12" s="35" t="str">
        <f t="shared" si="5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6"/>
        <v>0</v>
      </c>
      <c r="BQ12" s="40">
        <f t="shared" si="7"/>
        <v>0</v>
      </c>
      <c r="BR12" s="40">
        <f t="shared" si="8"/>
        <v>0</v>
      </c>
      <c r="BS12" s="40">
        <f t="shared" si="9"/>
        <v>0</v>
      </c>
      <c r="BT12" s="40">
        <f t="shared" si="9"/>
        <v>0</v>
      </c>
    </row>
    <row r="13" spans="1:72" ht="15" customHeight="1" outlineLevel="1" x14ac:dyDescent="0.25">
      <c r="A13" s="17"/>
      <c r="B13" s="17" t="s">
        <v>46</v>
      </c>
      <c r="C13" s="19" t="s">
        <v>367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 t="str">
        <f t="shared" si="0"/>
        <v>·</v>
      </c>
      <c r="K13" s="21" t="str">
        <f t="shared" si="1"/>
        <v>·</v>
      </c>
      <c r="L13" s="19" t="str">
        <f>IF(OR(ISBLANK(M13),ISBLANK(S13),ISBLANK(T13)),".",M13+S13+T13)</f>
        <v>.</v>
      </c>
      <c r="M13" s="19" t="str">
        <f t="shared" si="2"/>
        <v>.</v>
      </c>
      <c r="N13" s="44"/>
      <c r="O13" s="22"/>
      <c r="P13" s="22"/>
      <c r="Q13" s="22"/>
      <c r="R13" s="22"/>
      <c r="S13" s="22"/>
      <c r="T13" s="22"/>
      <c r="U13" s="45"/>
      <c r="V13" s="45"/>
      <c r="W13" s="45"/>
      <c r="X13" s="45"/>
      <c r="Y13" s="45"/>
      <c r="Z13" s="45"/>
      <c r="AA13" s="45"/>
      <c r="AB13" s="23"/>
      <c r="AC13" s="23"/>
      <c r="AE13" s="20" t="str">
        <f t="shared" si="3"/>
        <v>·</v>
      </c>
      <c r="AF13" s="21" t="str">
        <f t="shared" si="4"/>
        <v>·</v>
      </c>
      <c r="AG13" s="19" t="str">
        <f>IF(OR(ISBLANK(AH13),ISBLANK(AN13),ISBLANK(AO13)),".",AH13+AN13+AO13)</f>
        <v>.</v>
      </c>
      <c r="AH13" s="19" t="str">
        <f t="shared" si="5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6"/>
        <v>0</v>
      </c>
      <c r="BQ13" s="24">
        <f t="shared" si="7"/>
        <v>0</v>
      </c>
      <c r="BR13" s="24">
        <f t="shared" si="8"/>
        <v>0</v>
      </c>
      <c r="BS13" s="24">
        <f t="shared" si="9"/>
        <v>0</v>
      </c>
      <c r="BT13" s="24">
        <f t="shared" si="9"/>
        <v>0</v>
      </c>
    </row>
    <row r="14" spans="1:72" ht="15.75" customHeight="1" outlineLevel="1" thickBot="1" x14ac:dyDescent="0.3">
      <c r="A14" s="25"/>
      <c r="B14" s="25" t="s">
        <v>46</v>
      </c>
      <c r="C14" s="27" t="s">
        <v>368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 t="str">
        <f t="shared" si="0"/>
        <v>·</v>
      </c>
      <c r="K14" s="29" t="str">
        <f t="shared" si="1"/>
        <v>·</v>
      </c>
      <c r="L14" s="27" t="str">
        <f>IF(OR(ISBLANK(M14),ISBLANK(S14),ISBLANK(T14)),".",M14+S14+T14)</f>
        <v>.</v>
      </c>
      <c r="M14" s="27" t="str">
        <f t="shared" si="2"/>
        <v>.</v>
      </c>
      <c r="N14" s="58"/>
      <c r="O14" s="30"/>
      <c r="P14" s="30"/>
      <c r="Q14" s="30"/>
      <c r="R14" s="30"/>
      <c r="S14" s="30"/>
      <c r="T14" s="30"/>
      <c r="U14" s="59"/>
      <c r="V14" s="59"/>
      <c r="W14" s="59"/>
      <c r="X14" s="59"/>
      <c r="Y14" s="59"/>
      <c r="Z14" s="59"/>
      <c r="AA14" s="59"/>
      <c r="AB14" s="31"/>
      <c r="AC14" s="31"/>
      <c r="AE14" s="28" t="str">
        <f t="shared" si="3"/>
        <v>·</v>
      </c>
      <c r="AF14" s="29" t="str">
        <f t="shared" si="4"/>
        <v>·</v>
      </c>
      <c r="AG14" s="27" t="str">
        <f>IF(OR(ISBLANK(AH14),ISBLANK(AN14),ISBLANK(AO14)),".",AH14+AN14+AO14)</f>
        <v>.</v>
      </c>
      <c r="AH14" s="27" t="str">
        <f t="shared" si="5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6"/>
        <v>0</v>
      </c>
      <c r="BQ14" s="32">
        <f t="shared" si="7"/>
        <v>0</v>
      </c>
      <c r="BR14" s="32">
        <f t="shared" si="8"/>
        <v>0</v>
      </c>
      <c r="BS14" s="32">
        <f t="shared" si="9"/>
        <v>0</v>
      </c>
      <c r="BT14" s="32">
        <f t="shared" si="9"/>
        <v>0</v>
      </c>
    </row>
    <row r="15" spans="1:72" ht="15" customHeight="1" x14ac:dyDescent="0.25">
      <c r="A15" s="17" t="s">
        <v>178</v>
      </c>
      <c r="B15" s="17" t="s">
        <v>51</v>
      </c>
      <c r="C15" s="19" t="s">
        <v>364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 t="str">
        <f t="shared" si="0"/>
        <v>·</v>
      </c>
      <c r="K15" s="21" t="str">
        <f t="shared" si="1"/>
        <v>·</v>
      </c>
      <c r="L15" s="19" t="str">
        <f>IF(OR(ISBLANK(M15),ISBLANK(S15),ISBLANK(T15)),".",M15+S15+T15)</f>
        <v>.</v>
      </c>
      <c r="M15" s="19" t="str">
        <f t="shared" si="2"/>
        <v>.</v>
      </c>
      <c r="N15" s="44"/>
      <c r="O15" s="22"/>
      <c r="P15" s="22"/>
      <c r="Q15" s="22"/>
      <c r="R15" s="22"/>
      <c r="S15" s="22"/>
      <c r="T15" s="22"/>
      <c r="U15" s="45"/>
      <c r="V15" s="45"/>
      <c r="W15" s="45"/>
      <c r="X15" s="45"/>
      <c r="Y15" s="45"/>
      <c r="Z15" s="45"/>
      <c r="AA15" s="45"/>
      <c r="AB15" s="23"/>
      <c r="AC15" s="23"/>
      <c r="AE15" s="20" t="str">
        <f t="shared" si="3"/>
        <v>·</v>
      </c>
      <c r="AF15" s="21" t="str">
        <f t="shared" si="4"/>
        <v>·</v>
      </c>
      <c r="AG15" s="19" t="str">
        <f>IF(OR(ISBLANK(AH15),ISBLANK(AN15),ISBLANK(AO15)),".",AH15+AN15+AO15)</f>
        <v>.</v>
      </c>
      <c r="AH15" s="19" t="str">
        <f t="shared" si="5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6"/>
        <v>0</v>
      </c>
      <c r="BQ15" s="24">
        <f t="shared" si="7"/>
        <v>0</v>
      </c>
      <c r="BR15" s="24">
        <f t="shared" si="8"/>
        <v>0</v>
      </c>
      <c r="BS15" s="24">
        <f t="shared" si="9"/>
        <v>0</v>
      </c>
      <c r="BT15" s="24">
        <f t="shared" si="9"/>
        <v>0</v>
      </c>
    </row>
    <row r="16" spans="1:72" ht="15" customHeight="1" outlineLevel="1" x14ac:dyDescent="0.25">
      <c r="A16" s="33"/>
      <c r="B16" s="33" t="s">
        <v>51</v>
      </c>
      <c r="C16" s="35" t="s">
        <v>365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 t="str">
        <f t="shared" si="0"/>
        <v>·</v>
      </c>
      <c r="K16" s="37" t="str">
        <f t="shared" si="1"/>
        <v>·</v>
      </c>
      <c r="L16" s="35" t="str">
        <f>IF(OR(ISBLANK(M16),ISBLANK(S16),ISBLANK(T16)),".",M16+S16+T16)</f>
        <v>.</v>
      </c>
      <c r="M16" s="35" t="str">
        <f t="shared" si="2"/>
        <v>.</v>
      </c>
      <c r="N16" s="46"/>
      <c r="O16" s="38"/>
      <c r="P16" s="38"/>
      <c r="Q16" s="38"/>
      <c r="R16" s="38"/>
      <c r="S16" s="38"/>
      <c r="T16" s="38"/>
      <c r="U16" s="47"/>
      <c r="V16" s="47"/>
      <c r="W16" s="47"/>
      <c r="X16" s="47"/>
      <c r="Y16" s="47"/>
      <c r="Z16" s="47"/>
      <c r="AA16" s="47"/>
      <c r="AB16" s="39"/>
      <c r="AC16" s="39"/>
      <c r="AE16" s="36" t="str">
        <f t="shared" si="3"/>
        <v>·</v>
      </c>
      <c r="AF16" s="37" t="str">
        <f t="shared" si="4"/>
        <v>·</v>
      </c>
      <c r="AG16" s="35" t="str">
        <f>IF(OR(ISBLANK(AH16),ISBLANK(AN16),ISBLANK(AO16)),".",AH16+AN16+AO16)</f>
        <v>.</v>
      </c>
      <c r="AH16" s="35" t="str">
        <f t="shared" si="5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6"/>
        <v>0</v>
      </c>
      <c r="BQ16" s="40">
        <f t="shared" si="7"/>
        <v>0</v>
      </c>
      <c r="BR16" s="40">
        <f t="shared" si="8"/>
        <v>0</v>
      </c>
      <c r="BS16" s="40">
        <f t="shared" si="9"/>
        <v>0</v>
      </c>
      <c r="BT16" s="40">
        <f t="shared" si="9"/>
        <v>0</v>
      </c>
    </row>
    <row r="17" spans="1:72" ht="15" customHeight="1" outlineLevel="1" x14ac:dyDescent="0.25">
      <c r="A17" s="17"/>
      <c r="B17" s="17" t="s">
        <v>51</v>
      </c>
      <c r="C17" s="19" t="s">
        <v>366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 t="str">
        <f t="shared" si="0"/>
        <v>·</v>
      </c>
      <c r="K17" s="21" t="str">
        <f t="shared" si="1"/>
        <v>·</v>
      </c>
      <c r="L17" s="19" t="str">
        <f>IF(OR(ISBLANK(M17),ISBLANK(S17),ISBLANK(T17)),".",M17+S17+T17)</f>
        <v>.</v>
      </c>
      <c r="M17" s="19" t="str">
        <f t="shared" si="2"/>
        <v>.</v>
      </c>
      <c r="N17" s="44"/>
      <c r="O17" s="22"/>
      <c r="P17" s="22"/>
      <c r="Q17" s="22"/>
      <c r="R17" s="22"/>
      <c r="S17" s="22"/>
      <c r="T17" s="22"/>
      <c r="U17" s="45"/>
      <c r="V17" s="45"/>
      <c r="W17" s="45"/>
      <c r="X17" s="45"/>
      <c r="Y17" s="45"/>
      <c r="Z17" s="45"/>
      <c r="AA17" s="45"/>
      <c r="AB17" s="23"/>
      <c r="AC17" s="23"/>
      <c r="AE17" s="20" t="str">
        <f t="shared" si="3"/>
        <v>·</v>
      </c>
      <c r="AF17" s="21" t="str">
        <f t="shared" si="4"/>
        <v>·</v>
      </c>
      <c r="AG17" s="19" t="str">
        <f>IF(OR(ISBLANK(AH17),ISBLANK(AN17),ISBLANK(AO17)),".",AH17+AN17+AO17)</f>
        <v>.</v>
      </c>
      <c r="AH17" s="19" t="str">
        <f t="shared" si="5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6"/>
        <v>0</v>
      </c>
      <c r="BQ17" s="24">
        <f t="shared" si="7"/>
        <v>0</v>
      </c>
      <c r="BR17" s="24">
        <f t="shared" si="8"/>
        <v>0</v>
      </c>
      <c r="BS17" s="24">
        <f t="shared" si="9"/>
        <v>0</v>
      </c>
      <c r="BT17" s="24">
        <f t="shared" si="9"/>
        <v>0</v>
      </c>
    </row>
    <row r="18" spans="1:72" ht="15" customHeight="1" outlineLevel="1" x14ac:dyDescent="0.25">
      <c r="A18" s="33"/>
      <c r="B18" s="33" t="s">
        <v>51</v>
      </c>
      <c r="C18" s="35" t="s">
        <v>367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 t="str">
        <f t="shared" si="0"/>
        <v>·</v>
      </c>
      <c r="K18" s="37" t="str">
        <f t="shared" si="1"/>
        <v>·</v>
      </c>
      <c r="L18" s="35" t="str">
        <f>IF(OR(ISBLANK(M18),ISBLANK(S18),ISBLANK(T18)),".",M18+S18+T18)</f>
        <v>.</v>
      </c>
      <c r="M18" s="35" t="str">
        <f t="shared" si="2"/>
        <v>.</v>
      </c>
      <c r="N18" s="46"/>
      <c r="O18" s="38"/>
      <c r="P18" s="38"/>
      <c r="Q18" s="38"/>
      <c r="R18" s="38"/>
      <c r="S18" s="38"/>
      <c r="T18" s="38"/>
      <c r="U18" s="47"/>
      <c r="V18" s="47"/>
      <c r="W18" s="47"/>
      <c r="X18" s="47"/>
      <c r="Y18" s="47"/>
      <c r="Z18" s="47"/>
      <c r="AA18" s="47"/>
      <c r="AB18" s="39"/>
      <c r="AC18" s="39"/>
      <c r="AE18" s="36" t="str">
        <f t="shared" si="3"/>
        <v>·</v>
      </c>
      <c r="AF18" s="37" t="str">
        <f t="shared" si="4"/>
        <v>·</v>
      </c>
      <c r="AG18" s="35" t="str">
        <f>IF(OR(ISBLANK(AH18),ISBLANK(AN18),ISBLANK(AO18)),".",AH18+AN18+AO18)</f>
        <v>.</v>
      </c>
      <c r="AH18" s="35" t="str">
        <f t="shared" si="5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6"/>
        <v>0</v>
      </c>
      <c r="BQ18" s="40">
        <f t="shared" si="7"/>
        <v>0</v>
      </c>
      <c r="BR18" s="40">
        <f t="shared" si="8"/>
        <v>0</v>
      </c>
      <c r="BS18" s="40">
        <f t="shared" si="9"/>
        <v>0</v>
      </c>
      <c r="BT18" s="40">
        <f t="shared" si="9"/>
        <v>0</v>
      </c>
    </row>
    <row r="19" spans="1:72" ht="15.75" customHeight="1" outlineLevel="1" thickBot="1" x14ac:dyDescent="0.3">
      <c r="A19" s="17"/>
      <c r="B19" s="48" t="s">
        <v>51</v>
      </c>
      <c r="C19" s="49" t="s">
        <v>368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 t="str">
        <f t="shared" si="0"/>
        <v>·</v>
      </c>
      <c r="K19" s="52" t="str">
        <f t="shared" si="1"/>
        <v>·</v>
      </c>
      <c r="L19" s="49" t="str">
        <f>IF(OR(ISBLANK(M19),ISBLANK(S19),ISBLANK(T19)),".",M19+S19+T19)</f>
        <v>.</v>
      </c>
      <c r="M19" s="49" t="str">
        <f t="shared" si="2"/>
        <v>.</v>
      </c>
      <c r="N19" s="53"/>
      <c r="O19" s="54"/>
      <c r="P19" s="54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5"/>
      <c r="AB19" s="56"/>
      <c r="AC19" s="56"/>
      <c r="AE19" s="51" t="str">
        <f t="shared" si="3"/>
        <v>·</v>
      </c>
      <c r="AF19" s="52" t="str">
        <f t="shared" si="4"/>
        <v>·</v>
      </c>
      <c r="AG19" s="49" t="str">
        <f>IF(OR(ISBLANK(AH19),ISBLANK(AN19),ISBLANK(AO19)),".",AH19+AN19+AO19)</f>
        <v>.</v>
      </c>
      <c r="AH19" s="49" t="str">
        <f t="shared" si="5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6"/>
        <v>0</v>
      </c>
      <c r="BQ19" s="57">
        <f t="shared" si="7"/>
        <v>0</v>
      </c>
      <c r="BR19" s="57">
        <f t="shared" si="8"/>
        <v>0</v>
      </c>
      <c r="BS19" s="57">
        <f t="shared" si="9"/>
        <v>0</v>
      </c>
      <c r="BT19" s="57">
        <f t="shared" si="9"/>
        <v>0</v>
      </c>
    </row>
    <row r="20" spans="1:72" ht="15" customHeight="1" x14ac:dyDescent="0.25">
      <c r="A20" s="33"/>
      <c r="B20" s="33" t="s">
        <v>56</v>
      </c>
      <c r="C20" s="35" t="s">
        <v>364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 t="str">
        <f t="shared" si="0"/>
        <v>·</v>
      </c>
      <c r="K20" s="37" t="str">
        <f t="shared" si="1"/>
        <v>·</v>
      </c>
      <c r="L20" s="35" t="str">
        <f>IF(OR(ISBLANK(M20),ISBLANK(S20),ISBLANK(T20)),".",M20+S20+T20)</f>
        <v>.</v>
      </c>
      <c r="M20" s="35" t="str">
        <f t="shared" si="2"/>
        <v>.</v>
      </c>
      <c r="N20" s="46"/>
      <c r="O20" s="38"/>
      <c r="P20" s="38"/>
      <c r="Q20" s="38"/>
      <c r="R20" s="38"/>
      <c r="S20" s="38"/>
      <c r="T20" s="38"/>
      <c r="U20" s="47"/>
      <c r="V20" s="47"/>
      <c r="W20" s="47"/>
      <c r="X20" s="47"/>
      <c r="Y20" s="47"/>
      <c r="Z20" s="47"/>
      <c r="AA20" s="47"/>
      <c r="AB20" s="39"/>
      <c r="AC20" s="39"/>
      <c r="AE20" s="36" t="str">
        <f t="shared" si="3"/>
        <v>·</v>
      </c>
      <c r="AF20" s="37" t="str">
        <f t="shared" si="4"/>
        <v>·</v>
      </c>
      <c r="AG20" s="35" t="str">
        <f>IF(OR(ISBLANK(AH20),ISBLANK(AN20),ISBLANK(AO20)),".",AH20+AN20+AO20)</f>
        <v>.</v>
      </c>
      <c r="AH20" s="35" t="str">
        <f t="shared" si="5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6"/>
        <v>0</v>
      </c>
      <c r="BQ20" s="40">
        <f t="shared" si="7"/>
        <v>0</v>
      </c>
      <c r="BR20" s="40">
        <f t="shared" si="8"/>
        <v>0</v>
      </c>
      <c r="BS20" s="40">
        <f t="shared" si="9"/>
        <v>0</v>
      </c>
      <c r="BT20" s="40">
        <f t="shared" si="9"/>
        <v>0</v>
      </c>
    </row>
    <row r="21" spans="1:72" ht="15" customHeight="1" outlineLevel="1" x14ac:dyDescent="0.25">
      <c r="A21" s="17"/>
      <c r="B21" s="17" t="s">
        <v>56</v>
      </c>
      <c r="C21" s="19" t="s">
        <v>365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 t="str">
        <f t="shared" si="0"/>
        <v>·</v>
      </c>
      <c r="K21" s="21" t="str">
        <f t="shared" si="1"/>
        <v>·</v>
      </c>
      <c r="L21" s="19" t="str">
        <f>IF(OR(ISBLANK(M21),ISBLANK(S21),ISBLANK(T21)),".",M21+S21+T21)</f>
        <v>.</v>
      </c>
      <c r="M21" s="19" t="str">
        <f t="shared" si="2"/>
        <v>.</v>
      </c>
      <c r="N21" s="44"/>
      <c r="O21" s="22"/>
      <c r="P21" s="22"/>
      <c r="Q21" s="22"/>
      <c r="R21" s="22"/>
      <c r="S21" s="22"/>
      <c r="T21" s="22"/>
      <c r="U21" s="45"/>
      <c r="V21" s="45"/>
      <c r="W21" s="45"/>
      <c r="X21" s="45"/>
      <c r="Y21" s="45"/>
      <c r="Z21" s="45"/>
      <c r="AA21" s="45"/>
      <c r="AB21" s="23"/>
      <c r="AC21" s="23"/>
      <c r="AE21" s="20" t="str">
        <f t="shared" si="3"/>
        <v>·</v>
      </c>
      <c r="AF21" s="21" t="str">
        <f t="shared" si="4"/>
        <v>·</v>
      </c>
      <c r="AG21" s="19" t="str">
        <f>IF(OR(ISBLANK(AH21),ISBLANK(AN21),ISBLANK(AO21)),".",AH21+AN21+AO21)</f>
        <v>.</v>
      </c>
      <c r="AH21" s="19" t="str">
        <f t="shared" si="5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6"/>
        <v>0</v>
      </c>
      <c r="BQ21" s="24">
        <f t="shared" si="7"/>
        <v>0</v>
      </c>
      <c r="BR21" s="24">
        <f t="shared" si="8"/>
        <v>0</v>
      </c>
      <c r="BS21" s="24">
        <f t="shared" si="9"/>
        <v>0</v>
      </c>
      <c r="BT21" s="24">
        <f t="shared" si="9"/>
        <v>0</v>
      </c>
    </row>
    <row r="22" spans="1:72" ht="15" customHeight="1" outlineLevel="1" x14ac:dyDescent="0.25">
      <c r="A22" s="33"/>
      <c r="B22" s="33" t="s">
        <v>56</v>
      </c>
      <c r="C22" s="35" t="s">
        <v>366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 t="str">
        <f t="shared" si="0"/>
        <v>·</v>
      </c>
      <c r="K22" s="37" t="str">
        <f t="shared" si="1"/>
        <v>·</v>
      </c>
      <c r="L22" s="35" t="str">
        <f>IF(OR(ISBLANK(M22),ISBLANK(S22),ISBLANK(T22)),".",M22+S22+T22)</f>
        <v>.</v>
      </c>
      <c r="M22" s="35" t="str">
        <f t="shared" si="2"/>
        <v>.</v>
      </c>
      <c r="N22" s="46"/>
      <c r="O22" s="38"/>
      <c r="P22" s="38"/>
      <c r="Q22" s="38"/>
      <c r="R22" s="38"/>
      <c r="S22" s="38"/>
      <c r="T22" s="38"/>
      <c r="U22" s="47"/>
      <c r="V22" s="47"/>
      <c r="W22" s="47"/>
      <c r="X22" s="47"/>
      <c r="Y22" s="47"/>
      <c r="Z22" s="47"/>
      <c r="AA22" s="47"/>
      <c r="AB22" s="39"/>
      <c r="AC22" s="39"/>
      <c r="AE22" s="36" t="str">
        <f t="shared" si="3"/>
        <v>·</v>
      </c>
      <c r="AF22" s="37" t="str">
        <f t="shared" si="4"/>
        <v>·</v>
      </c>
      <c r="AG22" s="35" t="str">
        <f>IF(OR(ISBLANK(AH22),ISBLANK(AN22),ISBLANK(AO22)),".",AH22+AN22+AO22)</f>
        <v>.</v>
      </c>
      <c r="AH22" s="35" t="str">
        <f t="shared" si="5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6"/>
        <v>0</v>
      </c>
      <c r="BQ22" s="40">
        <f t="shared" si="7"/>
        <v>0</v>
      </c>
      <c r="BR22" s="40">
        <f t="shared" si="8"/>
        <v>0</v>
      </c>
      <c r="BS22" s="40">
        <f t="shared" si="9"/>
        <v>0</v>
      </c>
      <c r="BT22" s="40">
        <f t="shared" si="9"/>
        <v>0</v>
      </c>
    </row>
    <row r="23" spans="1:72" ht="15" customHeight="1" outlineLevel="1" x14ac:dyDescent="0.25">
      <c r="A23" s="17"/>
      <c r="B23" s="17" t="s">
        <v>56</v>
      </c>
      <c r="C23" s="19" t="s">
        <v>367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 t="str">
        <f t="shared" si="0"/>
        <v>·</v>
      </c>
      <c r="K23" s="21" t="str">
        <f t="shared" si="1"/>
        <v>·</v>
      </c>
      <c r="L23" s="19" t="str">
        <f>IF(OR(ISBLANK(M23),ISBLANK(S23),ISBLANK(T23)),".",M23+S23+T23)</f>
        <v>.</v>
      </c>
      <c r="M23" s="19" t="str">
        <f t="shared" si="2"/>
        <v>.</v>
      </c>
      <c r="N23" s="44"/>
      <c r="O23" s="22"/>
      <c r="P23" s="22"/>
      <c r="Q23" s="22"/>
      <c r="R23" s="22"/>
      <c r="S23" s="22"/>
      <c r="T23" s="22"/>
      <c r="U23" s="45"/>
      <c r="V23" s="45"/>
      <c r="W23" s="45"/>
      <c r="X23" s="45"/>
      <c r="Y23" s="45"/>
      <c r="Z23" s="45"/>
      <c r="AA23" s="45"/>
      <c r="AB23" s="23"/>
      <c r="AC23" s="23"/>
      <c r="AE23" s="20" t="str">
        <f t="shared" si="3"/>
        <v>·</v>
      </c>
      <c r="AF23" s="21" t="str">
        <f t="shared" si="4"/>
        <v>·</v>
      </c>
      <c r="AG23" s="19" t="str">
        <f>IF(OR(ISBLANK(AH23),ISBLANK(AN23),ISBLANK(AO23)),".",AH23+AN23+AO23)</f>
        <v>.</v>
      </c>
      <c r="AH23" s="19" t="str">
        <f t="shared" si="5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6"/>
        <v>0</v>
      </c>
      <c r="BQ23" s="24">
        <f t="shared" si="7"/>
        <v>0</v>
      </c>
      <c r="BR23" s="24">
        <f t="shared" si="8"/>
        <v>0</v>
      </c>
      <c r="BS23" s="24">
        <f t="shared" si="9"/>
        <v>0</v>
      </c>
      <c r="BT23" s="24">
        <f t="shared" si="9"/>
        <v>0</v>
      </c>
    </row>
    <row r="24" spans="1:72" ht="15.75" customHeight="1" outlineLevel="1" thickBot="1" x14ac:dyDescent="0.3">
      <c r="A24" s="25"/>
      <c r="B24" s="25" t="s">
        <v>56</v>
      </c>
      <c r="C24" s="27" t="s">
        <v>368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 t="str">
        <f t="shared" si="0"/>
        <v>·</v>
      </c>
      <c r="K24" s="29" t="str">
        <f t="shared" si="1"/>
        <v>·</v>
      </c>
      <c r="L24" s="27" t="str">
        <f>IF(OR(ISBLANK(M24),ISBLANK(S24),ISBLANK(T24)),".",M24+S24+T24)</f>
        <v>.</v>
      </c>
      <c r="M24" s="27" t="str">
        <f t="shared" si="2"/>
        <v>.</v>
      </c>
      <c r="N24" s="58"/>
      <c r="O24" s="30"/>
      <c r="P24" s="30"/>
      <c r="Q24" s="30"/>
      <c r="R24" s="30"/>
      <c r="S24" s="30"/>
      <c r="T24" s="30"/>
      <c r="U24" s="59"/>
      <c r="V24" s="59"/>
      <c r="W24" s="59"/>
      <c r="X24" s="59"/>
      <c r="Y24" s="59"/>
      <c r="Z24" s="59"/>
      <c r="AA24" s="59"/>
      <c r="AB24" s="31"/>
      <c r="AC24" s="31"/>
      <c r="AE24" s="28" t="str">
        <f t="shared" si="3"/>
        <v>·</v>
      </c>
      <c r="AF24" s="29" t="str">
        <f t="shared" si="4"/>
        <v>·</v>
      </c>
      <c r="AG24" s="27" t="str">
        <f>IF(OR(ISBLANK(AH24),ISBLANK(AN24),ISBLANK(AO24)),".",AH24+AN24+AO24)</f>
        <v>.</v>
      </c>
      <c r="AH24" s="27" t="str">
        <f t="shared" si="5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6"/>
        <v>0</v>
      </c>
      <c r="BQ24" s="32">
        <f t="shared" si="7"/>
        <v>0</v>
      </c>
      <c r="BR24" s="32">
        <f t="shared" si="8"/>
        <v>0</v>
      </c>
      <c r="BS24" s="32">
        <f t="shared" si="9"/>
        <v>0</v>
      </c>
      <c r="BT24" s="32">
        <f t="shared" si="9"/>
        <v>0</v>
      </c>
    </row>
    <row r="25" spans="1:72" ht="15" customHeight="1" x14ac:dyDescent="0.25">
      <c r="A25" s="17" t="s">
        <v>179</v>
      </c>
      <c r="B25" s="17" t="s">
        <v>61</v>
      </c>
      <c r="C25" s="19" t="s">
        <v>364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 t="str">
        <f t="shared" si="0"/>
        <v>·</v>
      </c>
      <c r="K25" s="21" t="str">
        <f t="shared" si="1"/>
        <v>·</v>
      </c>
      <c r="L25" s="19" t="str">
        <f>IF(OR(ISBLANK(M25),ISBLANK(S25),ISBLANK(T25)),".",M25+S25+T25)</f>
        <v>.</v>
      </c>
      <c r="M25" s="19" t="str">
        <f t="shared" si="2"/>
        <v>.</v>
      </c>
      <c r="N25" s="44"/>
      <c r="O25" s="22"/>
      <c r="P25" s="22"/>
      <c r="Q25" s="22"/>
      <c r="R25" s="22"/>
      <c r="S25" s="22"/>
      <c r="T25" s="22"/>
      <c r="U25" s="45"/>
      <c r="V25" s="45"/>
      <c r="W25" s="45"/>
      <c r="X25" s="45"/>
      <c r="Y25" s="45"/>
      <c r="Z25" s="45"/>
      <c r="AA25" s="45"/>
      <c r="AB25" s="23"/>
      <c r="AC25" s="23"/>
      <c r="AE25" s="20" t="str">
        <f t="shared" si="3"/>
        <v>·</v>
      </c>
      <c r="AF25" s="21" t="str">
        <f t="shared" si="4"/>
        <v>·</v>
      </c>
      <c r="AG25" s="19" t="str">
        <f>IF(OR(ISBLANK(AH25),ISBLANK(AN25),ISBLANK(AO25)),".",AH25+AN25+AO25)</f>
        <v>.</v>
      </c>
      <c r="AH25" s="19" t="str">
        <f t="shared" si="5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6"/>
        <v>0</v>
      </c>
      <c r="BQ25" s="24">
        <f t="shared" si="7"/>
        <v>0</v>
      </c>
      <c r="BR25" s="24">
        <f t="shared" si="8"/>
        <v>0</v>
      </c>
      <c r="BS25" s="24">
        <f t="shared" si="9"/>
        <v>0</v>
      </c>
      <c r="BT25" s="24">
        <f t="shared" si="9"/>
        <v>0</v>
      </c>
    </row>
    <row r="26" spans="1:72" ht="15" customHeight="1" outlineLevel="1" x14ac:dyDescent="0.25">
      <c r="A26" s="33"/>
      <c r="B26" s="33" t="s">
        <v>61</v>
      </c>
      <c r="C26" s="35" t="s">
        <v>365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 t="str">
        <f t="shared" si="0"/>
        <v>·</v>
      </c>
      <c r="K26" s="37" t="str">
        <f t="shared" si="1"/>
        <v>·</v>
      </c>
      <c r="L26" s="35" t="str">
        <f>IF(OR(ISBLANK(M26),ISBLANK(S26),ISBLANK(T26)),".",M26+S26+T26)</f>
        <v>.</v>
      </c>
      <c r="M26" s="35" t="str">
        <f t="shared" si="2"/>
        <v>.</v>
      </c>
      <c r="N26" s="46"/>
      <c r="O26" s="38"/>
      <c r="P26" s="38"/>
      <c r="Q26" s="38"/>
      <c r="R26" s="38"/>
      <c r="S26" s="38"/>
      <c r="T26" s="38"/>
      <c r="U26" s="47"/>
      <c r="V26" s="47"/>
      <c r="W26" s="47"/>
      <c r="X26" s="47"/>
      <c r="Y26" s="47"/>
      <c r="Z26" s="47"/>
      <c r="AA26" s="47"/>
      <c r="AB26" s="39"/>
      <c r="AC26" s="39"/>
      <c r="AE26" s="36" t="str">
        <f t="shared" si="3"/>
        <v>·</v>
      </c>
      <c r="AF26" s="37" t="str">
        <f t="shared" si="4"/>
        <v>·</v>
      </c>
      <c r="AG26" s="35" t="str">
        <f>IF(OR(ISBLANK(AH26),ISBLANK(AN26),ISBLANK(AO26)),".",AH26+AN26+AO26)</f>
        <v>.</v>
      </c>
      <c r="AH26" s="35" t="str">
        <f t="shared" si="5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6"/>
        <v>0</v>
      </c>
      <c r="BQ26" s="40">
        <f t="shared" si="7"/>
        <v>0</v>
      </c>
      <c r="BR26" s="40">
        <f t="shared" si="8"/>
        <v>0</v>
      </c>
      <c r="BS26" s="40">
        <f t="shared" si="9"/>
        <v>0</v>
      </c>
      <c r="BT26" s="40">
        <f t="shared" si="9"/>
        <v>0</v>
      </c>
    </row>
    <row r="27" spans="1:72" ht="15" customHeight="1" outlineLevel="1" x14ac:dyDescent="0.25">
      <c r="A27" s="17"/>
      <c r="B27" s="17" t="s">
        <v>61</v>
      </c>
      <c r="C27" s="19" t="s">
        <v>366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 t="str">
        <f t="shared" si="0"/>
        <v>·</v>
      </c>
      <c r="K27" s="21" t="str">
        <f t="shared" si="1"/>
        <v>·</v>
      </c>
      <c r="L27" s="19" t="str">
        <f>IF(OR(ISBLANK(M27),ISBLANK(S27),ISBLANK(T27)),".",M27+S27+T27)</f>
        <v>.</v>
      </c>
      <c r="M27" s="19" t="str">
        <f t="shared" si="2"/>
        <v>.</v>
      </c>
      <c r="N27" s="44"/>
      <c r="O27" s="22"/>
      <c r="P27" s="22"/>
      <c r="Q27" s="22"/>
      <c r="R27" s="22"/>
      <c r="S27" s="22"/>
      <c r="T27" s="22"/>
      <c r="U27" s="45"/>
      <c r="V27" s="45"/>
      <c r="W27" s="45"/>
      <c r="X27" s="45"/>
      <c r="Y27" s="45"/>
      <c r="Z27" s="45"/>
      <c r="AA27" s="45"/>
      <c r="AB27" s="23"/>
      <c r="AC27" s="23"/>
      <c r="AE27" s="20" t="str">
        <f t="shared" si="3"/>
        <v>·</v>
      </c>
      <c r="AF27" s="21" t="str">
        <f t="shared" si="4"/>
        <v>·</v>
      </c>
      <c r="AG27" s="19" t="str">
        <f>IF(OR(ISBLANK(AH27),ISBLANK(AN27),ISBLANK(AO27)),".",AH27+AN27+AO27)</f>
        <v>.</v>
      </c>
      <c r="AH27" s="19" t="str">
        <f t="shared" si="5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6"/>
        <v>0</v>
      </c>
      <c r="BQ27" s="24">
        <f t="shared" si="7"/>
        <v>0</v>
      </c>
      <c r="BR27" s="24">
        <f t="shared" si="8"/>
        <v>0</v>
      </c>
      <c r="BS27" s="24">
        <f t="shared" si="9"/>
        <v>0</v>
      </c>
      <c r="BT27" s="24">
        <f t="shared" si="9"/>
        <v>0</v>
      </c>
    </row>
    <row r="28" spans="1:72" ht="15" customHeight="1" outlineLevel="1" x14ac:dyDescent="0.25">
      <c r="A28" s="33"/>
      <c r="B28" s="33" t="s">
        <v>61</v>
      </c>
      <c r="C28" s="35" t="s">
        <v>367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 t="str">
        <f t="shared" si="0"/>
        <v>·</v>
      </c>
      <c r="K28" s="37" t="str">
        <f t="shared" si="1"/>
        <v>·</v>
      </c>
      <c r="L28" s="35" t="str">
        <f>IF(OR(ISBLANK(M28),ISBLANK(S28),ISBLANK(T28)),".",M28+S28+T28)</f>
        <v>.</v>
      </c>
      <c r="M28" s="35" t="str">
        <f t="shared" si="2"/>
        <v>.</v>
      </c>
      <c r="N28" s="46"/>
      <c r="O28" s="38"/>
      <c r="P28" s="38"/>
      <c r="Q28" s="38"/>
      <c r="R28" s="38"/>
      <c r="S28" s="38"/>
      <c r="T28" s="38"/>
      <c r="U28" s="47"/>
      <c r="V28" s="47"/>
      <c r="W28" s="47"/>
      <c r="X28" s="47"/>
      <c r="Y28" s="47"/>
      <c r="Z28" s="47"/>
      <c r="AA28" s="47"/>
      <c r="AB28" s="39"/>
      <c r="AC28" s="39"/>
      <c r="AE28" s="36" t="str">
        <f t="shared" si="3"/>
        <v>·</v>
      </c>
      <c r="AF28" s="37" t="str">
        <f t="shared" si="4"/>
        <v>·</v>
      </c>
      <c r="AG28" s="35" t="str">
        <f>IF(OR(ISBLANK(AH28),ISBLANK(AN28),ISBLANK(AO28)),".",AH28+AN28+AO28)</f>
        <v>.</v>
      </c>
      <c r="AH28" s="35" t="str">
        <f t="shared" si="5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6"/>
        <v>0</v>
      </c>
      <c r="BQ28" s="40">
        <f t="shared" si="7"/>
        <v>0</v>
      </c>
      <c r="BR28" s="40">
        <f t="shared" si="8"/>
        <v>0</v>
      </c>
      <c r="BS28" s="40">
        <f t="shared" si="9"/>
        <v>0</v>
      </c>
      <c r="BT28" s="40">
        <f t="shared" si="9"/>
        <v>0</v>
      </c>
    </row>
    <row r="29" spans="1:72" ht="15.75" customHeight="1" outlineLevel="1" thickBot="1" x14ac:dyDescent="0.3">
      <c r="A29" s="17"/>
      <c r="B29" s="48" t="s">
        <v>61</v>
      </c>
      <c r="C29" s="49" t="s">
        <v>368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 t="str">
        <f t="shared" si="0"/>
        <v>·</v>
      </c>
      <c r="K29" s="52" t="str">
        <f t="shared" si="1"/>
        <v>·</v>
      </c>
      <c r="L29" s="49" t="str">
        <f>IF(OR(ISBLANK(M29),ISBLANK(S29),ISBLANK(T29)),".",M29+S29+T29)</f>
        <v>.</v>
      </c>
      <c r="M29" s="49" t="str">
        <f t="shared" si="2"/>
        <v>.</v>
      </c>
      <c r="N29" s="53"/>
      <c r="O29" s="54"/>
      <c r="P29" s="54"/>
      <c r="Q29" s="54"/>
      <c r="R29" s="54"/>
      <c r="S29" s="54"/>
      <c r="T29" s="54"/>
      <c r="U29" s="55"/>
      <c r="V29" s="55"/>
      <c r="W29" s="55"/>
      <c r="X29" s="55"/>
      <c r="Y29" s="55"/>
      <c r="Z29" s="55"/>
      <c r="AA29" s="55"/>
      <c r="AB29" s="56"/>
      <c r="AC29" s="56"/>
      <c r="AE29" s="51" t="str">
        <f t="shared" si="3"/>
        <v>·</v>
      </c>
      <c r="AF29" s="52" t="str">
        <f t="shared" si="4"/>
        <v>·</v>
      </c>
      <c r="AG29" s="49" t="str">
        <f>IF(OR(ISBLANK(AH29),ISBLANK(AN29),ISBLANK(AO29)),".",AH29+AN29+AO29)</f>
        <v>.</v>
      </c>
      <c r="AH29" s="49" t="str">
        <f t="shared" si="5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6"/>
        <v>0</v>
      </c>
      <c r="BQ29" s="57">
        <f t="shared" si="7"/>
        <v>0</v>
      </c>
      <c r="BR29" s="57">
        <f t="shared" si="8"/>
        <v>0</v>
      </c>
      <c r="BS29" s="57">
        <f t="shared" si="9"/>
        <v>0</v>
      </c>
      <c r="BT29" s="57">
        <f t="shared" si="9"/>
        <v>0</v>
      </c>
    </row>
    <row r="30" spans="1:72" ht="15" customHeight="1" x14ac:dyDescent="0.25">
      <c r="A30" s="33"/>
      <c r="B30" s="33" t="s">
        <v>66</v>
      </c>
      <c r="C30" s="35" t="s">
        <v>364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 t="str">
        <f t="shared" si="0"/>
        <v>·</v>
      </c>
      <c r="K30" s="37" t="str">
        <f t="shared" si="1"/>
        <v>·</v>
      </c>
      <c r="L30" s="35" t="str">
        <f>IF(OR(ISBLANK(M30),ISBLANK(S30),ISBLANK(T30)),".",M30+S30+T30)</f>
        <v>.</v>
      </c>
      <c r="M30" s="35" t="str">
        <f t="shared" si="2"/>
        <v>.</v>
      </c>
      <c r="N30" s="46"/>
      <c r="O30" s="38"/>
      <c r="P30" s="38"/>
      <c r="Q30" s="38"/>
      <c r="R30" s="38"/>
      <c r="S30" s="38"/>
      <c r="T30" s="38"/>
      <c r="U30" s="47"/>
      <c r="V30" s="47"/>
      <c r="W30" s="47"/>
      <c r="X30" s="47"/>
      <c r="Y30" s="47"/>
      <c r="Z30" s="47"/>
      <c r="AA30" s="47"/>
      <c r="AB30" s="39"/>
      <c r="AC30" s="39"/>
      <c r="AE30" s="36" t="str">
        <f t="shared" si="3"/>
        <v>·</v>
      </c>
      <c r="AF30" s="37" t="str">
        <f t="shared" si="4"/>
        <v>·</v>
      </c>
      <c r="AG30" s="35" t="str">
        <f>IF(OR(ISBLANK(AH30),ISBLANK(AN30),ISBLANK(AO30)),".",AH30+AN30+AO30)</f>
        <v>.</v>
      </c>
      <c r="AH30" s="35" t="str">
        <f t="shared" si="5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6"/>
        <v>0</v>
      </c>
      <c r="BQ30" s="40">
        <f t="shared" si="7"/>
        <v>0</v>
      </c>
      <c r="BR30" s="40">
        <f t="shared" si="8"/>
        <v>0</v>
      </c>
      <c r="BS30" s="40">
        <f t="shared" si="9"/>
        <v>0</v>
      </c>
      <c r="BT30" s="40">
        <f t="shared" si="9"/>
        <v>0</v>
      </c>
    </row>
    <row r="31" spans="1:72" ht="15" customHeight="1" outlineLevel="1" x14ac:dyDescent="0.25">
      <c r="A31" s="17"/>
      <c r="B31" s="17" t="s">
        <v>66</v>
      </c>
      <c r="C31" s="19" t="s">
        <v>365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 t="str">
        <f t="shared" si="0"/>
        <v>·</v>
      </c>
      <c r="K31" s="21" t="str">
        <f t="shared" si="1"/>
        <v>·</v>
      </c>
      <c r="L31" s="19" t="str">
        <f>IF(OR(ISBLANK(M31),ISBLANK(S31),ISBLANK(T31)),".",M31+S31+T31)</f>
        <v>.</v>
      </c>
      <c r="M31" s="19" t="str">
        <f t="shared" si="2"/>
        <v>.</v>
      </c>
      <c r="N31" s="44"/>
      <c r="O31" s="22"/>
      <c r="P31" s="22"/>
      <c r="Q31" s="22"/>
      <c r="R31" s="22"/>
      <c r="S31" s="22"/>
      <c r="T31" s="22"/>
      <c r="U31" s="45"/>
      <c r="V31" s="45"/>
      <c r="W31" s="45"/>
      <c r="X31" s="45"/>
      <c r="Y31" s="45"/>
      <c r="Z31" s="45"/>
      <c r="AA31" s="45"/>
      <c r="AB31" s="23"/>
      <c r="AC31" s="23"/>
      <c r="AE31" s="20" t="str">
        <f t="shared" si="3"/>
        <v>·</v>
      </c>
      <c r="AF31" s="21" t="str">
        <f t="shared" si="4"/>
        <v>·</v>
      </c>
      <c r="AG31" s="19" t="str">
        <f>IF(OR(ISBLANK(AH31),ISBLANK(AN31),ISBLANK(AO31)),".",AH31+AN31+AO31)</f>
        <v>.</v>
      </c>
      <c r="AH31" s="19" t="str">
        <f t="shared" si="5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6"/>
        <v>0</v>
      </c>
      <c r="BQ31" s="24">
        <f t="shared" si="7"/>
        <v>0</v>
      </c>
      <c r="BR31" s="24">
        <f t="shared" si="8"/>
        <v>0</v>
      </c>
      <c r="BS31" s="24">
        <f t="shared" si="9"/>
        <v>0</v>
      </c>
      <c r="BT31" s="24">
        <f t="shared" si="9"/>
        <v>0</v>
      </c>
    </row>
    <row r="32" spans="1:72" ht="15" customHeight="1" outlineLevel="1" x14ac:dyDescent="0.25">
      <c r="A32" s="33"/>
      <c r="B32" s="33" t="s">
        <v>66</v>
      </c>
      <c r="C32" s="35" t="s">
        <v>366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 t="str">
        <f t="shared" si="0"/>
        <v>·</v>
      </c>
      <c r="K32" s="37" t="str">
        <f t="shared" si="1"/>
        <v>·</v>
      </c>
      <c r="L32" s="35" t="str">
        <f>IF(OR(ISBLANK(M32),ISBLANK(S32),ISBLANK(T32)),".",M32+S32+T32)</f>
        <v>.</v>
      </c>
      <c r="M32" s="35" t="str">
        <f t="shared" si="2"/>
        <v>.</v>
      </c>
      <c r="N32" s="46"/>
      <c r="O32" s="38"/>
      <c r="P32" s="38"/>
      <c r="Q32" s="38"/>
      <c r="R32" s="38"/>
      <c r="S32" s="38"/>
      <c r="T32" s="38"/>
      <c r="U32" s="47"/>
      <c r="V32" s="47"/>
      <c r="W32" s="47"/>
      <c r="X32" s="47"/>
      <c r="Y32" s="47"/>
      <c r="Z32" s="47"/>
      <c r="AA32" s="47"/>
      <c r="AB32" s="39"/>
      <c r="AC32" s="39"/>
      <c r="AE32" s="36" t="str">
        <f t="shared" si="3"/>
        <v>·</v>
      </c>
      <c r="AF32" s="37" t="str">
        <f t="shared" si="4"/>
        <v>·</v>
      </c>
      <c r="AG32" s="35" t="str">
        <f>IF(OR(ISBLANK(AH32),ISBLANK(AN32),ISBLANK(AO32)),".",AH32+AN32+AO32)</f>
        <v>.</v>
      </c>
      <c r="AH32" s="35" t="str">
        <f t="shared" si="5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6"/>
        <v>0</v>
      </c>
      <c r="BQ32" s="40">
        <f t="shared" si="7"/>
        <v>0</v>
      </c>
      <c r="BR32" s="40">
        <f t="shared" si="8"/>
        <v>0</v>
      </c>
      <c r="BS32" s="40">
        <f t="shared" si="9"/>
        <v>0</v>
      </c>
      <c r="BT32" s="40">
        <f t="shared" si="9"/>
        <v>0</v>
      </c>
    </row>
    <row r="33" spans="1:72" ht="15" customHeight="1" outlineLevel="1" x14ac:dyDescent="0.25">
      <c r="A33" s="17"/>
      <c r="B33" s="17" t="s">
        <v>66</v>
      </c>
      <c r="C33" s="19" t="s">
        <v>367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 t="str">
        <f t="shared" si="0"/>
        <v>·</v>
      </c>
      <c r="K33" s="21" t="str">
        <f t="shared" si="1"/>
        <v>·</v>
      </c>
      <c r="L33" s="19" t="str">
        <f>IF(OR(ISBLANK(M33),ISBLANK(S33),ISBLANK(T33)),".",M33+S33+T33)</f>
        <v>.</v>
      </c>
      <c r="M33" s="19" t="str">
        <f t="shared" si="2"/>
        <v>.</v>
      </c>
      <c r="N33" s="44"/>
      <c r="O33" s="22"/>
      <c r="P33" s="22"/>
      <c r="Q33" s="22"/>
      <c r="R33" s="22"/>
      <c r="S33" s="22"/>
      <c r="T33" s="22"/>
      <c r="U33" s="45"/>
      <c r="V33" s="45"/>
      <c r="W33" s="45"/>
      <c r="X33" s="45"/>
      <c r="Y33" s="45"/>
      <c r="Z33" s="45"/>
      <c r="AA33" s="45"/>
      <c r="AB33" s="23"/>
      <c r="AC33" s="23"/>
      <c r="AE33" s="20" t="str">
        <f t="shared" si="3"/>
        <v>·</v>
      </c>
      <c r="AF33" s="21" t="str">
        <f t="shared" si="4"/>
        <v>·</v>
      </c>
      <c r="AG33" s="19" t="str">
        <f>IF(OR(ISBLANK(AH33),ISBLANK(AN33),ISBLANK(AO33)),".",AH33+AN33+AO33)</f>
        <v>.</v>
      </c>
      <c r="AH33" s="19" t="str">
        <f t="shared" si="5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6"/>
        <v>0</v>
      </c>
      <c r="BQ33" s="24">
        <f t="shared" si="7"/>
        <v>0</v>
      </c>
      <c r="BR33" s="24">
        <f t="shared" si="8"/>
        <v>0</v>
      </c>
      <c r="BS33" s="24">
        <f t="shared" si="9"/>
        <v>0</v>
      </c>
      <c r="BT33" s="24">
        <f t="shared" si="9"/>
        <v>0</v>
      </c>
    </row>
    <row r="34" spans="1:72" ht="15.75" customHeight="1" outlineLevel="1" thickBot="1" x14ac:dyDescent="0.3">
      <c r="A34" s="33"/>
      <c r="B34" s="25" t="s">
        <v>66</v>
      </c>
      <c r="C34" s="27" t="s">
        <v>368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 t="str">
        <f t="shared" si="0"/>
        <v>·</v>
      </c>
      <c r="K34" s="29" t="str">
        <f t="shared" si="1"/>
        <v>·</v>
      </c>
      <c r="L34" s="27" t="str">
        <f>IF(OR(ISBLANK(M34),ISBLANK(S34),ISBLANK(T34)),".",M34+S34+T34)</f>
        <v>.</v>
      </c>
      <c r="M34" s="27" t="str">
        <f t="shared" si="2"/>
        <v>.</v>
      </c>
      <c r="N34" s="58"/>
      <c r="O34" s="30"/>
      <c r="P34" s="30"/>
      <c r="Q34" s="30"/>
      <c r="R34" s="30"/>
      <c r="S34" s="30"/>
      <c r="T34" s="30"/>
      <c r="U34" s="59"/>
      <c r="V34" s="59"/>
      <c r="W34" s="59"/>
      <c r="X34" s="59"/>
      <c r="Y34" s="59"/>
      <c r="Z34" s="59"/>
      <c r="AA34" s="59"/>
      <c r="AB34" s="31"/>
      <c r="AC34" s="31"/>
      <c r="AE34" s="28" t="str">
        <f t="shared" si="3"/>
        <v>·</v>
      </c>
      <c r="AF34" s="29" t="str">
        <f t="shared" si="4"/>
        <v>·</v>
      </c>
      <c r="AG34" s="27" t="str">
        <f>IF(OR(ISBLANK(AH34),ISBLANK(AN34),ISBLANK(AO34)),".",AH34+AN34+AO34)</f>
        <v>.</v>
      </c>
      <c r="AH34" s="27" t="str">
        <f t="shared" si="5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6"/>
        <v>0</v>
      </c>
      <c r="BQ34" s="32">
        <f t="shared" si="7"/>
        <v>0</v>
      </c>
      <c r="BR34" s="32">
        <f t="shared" si="8"/>
        <v>0</v>
      </c>
      <c r="BS34" s="32">
        <f t="shared" si="9"/>
        <v>0</v>
      </c>
      <c r="BT34" s="32">
        <f t="shared" si="9"/>
        <v>0</v>
      </c>
    </row>
    <row r="35" spans="1:72" ht="15" customHeight="1" x14ac:dyDescent="0.25">
      <c r="A35" s="17"/>
      <c r="B35" s="17" t="s">
        <v>32</v>
      </c>
      <c r="C35" s="19" t="s">
        <v>364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 t="str">
        <f t="shared" si="0"/>
        <v>·</v>
      </c>
      <c r="K35" s="21" t="str">
        <f t="shared" si="1"/>
        <v>·</v>
      </c>
      <c r="L35" s="19" t="str">
        <f>IF(OR(ISBLANK(M35),ISBLANK(S35),ISBLANK(T35)),".",M35+S35+T35)</f>
        <v>.</v>
      </c>
      <c r="M35" s="19" t="str">
        <f t="shared" si="2"/>
        <v>.</v>
      </c>
      <c r="N35" s="44"/>
      <c r="O35" s="22"/>
      <c r="P35" s="22"/>
      <c r="Q35" s="22"/>
      <c r="R35" s="22"/>
      <c r="S35" s="22"/>
      <c r="T35" s="22"/>
      <c r="U35" s="45"/>
      <c r="V35" s="45"/>
      <c r="W35" s="45"/>
      <c r="X35" s="45"/>
      <c r="Y35" s="45"/>
      <c r="Z35" s="45"/>
      <c r="AA35" s="45"/>
      <c r="AB35" s="23"/>
      <c r="AC35" s="23"/>
      <c r="AE35" s="20" t="str">
        <f t="shared" si="3"/>
        <v>·</v>
      </c>
      <c r="AF35" s="21" t="str">
        <f t="shared" si="4"/>
        <v>·</v>
      </c>
      <c r="AG35" s="19" t="str">
        <f>IF(OR(ISBLANK(AH35),ISBLANK(AN35),ISBLANK(AO35)),".",AH35+AN35+AO35)</f>
        <v>.</v>
      </c>
      <c r="AH35" s="19" t="str">
        <f t="shared" si="5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6"/>
        <v>0</v>
      </c>
      <c r="BQ35" s="24">
        <f t="shared" si="7"/>
        <v>0</v>
      </c>
      <c r="BR35" s="24">
        <f t="shared" si="8"/>
        <v>0</v>
      </c>
      <c r="BS35" s="24">
        <f t="shared" si="9"/>
        <v>0</v>
      </c>
      <c r="BT35" s="24">
        <f t="shared" si="9"/>
        <v>0</v>
      </c>
    </row>
    <row r="36" spans="1:72" ht="15" customHeight="1" outlineLevel="1" x14ac:dyDescent="0.25">
      <c r="A36" s="33"/>
      <c r="B36" s="33" t="s">
        <v>32</v>
      </c>
      <c r="C36" s="35" t="s">
        <v>365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 t="str">
        <f t="shared" si="0"/>
        <v>·</v>
      </c>
      <c r="K36" s="37" t="str">
        <f t="shared" si="1"/>
        <v>·</v>
      </c>
      <c r="L36" s="35" t="str">
        <f>IF(OR(ISBLANK(M36),ISBLANK(S36),ISBLANK(T36)),".",M36+S36+T36)</f>
        <v>.</v>
      </c>
      <c r="M36" s="35" t="str">
        <f t="shared" si="2"/>
        <v>.</v>
      </c>
      <c r="N36" s="46"/>
      <c r="O36" s="38"/>
      <c r="P36" s="38"/>
      <c r="Q36" s="38"/>
      <c r="R36" s="38"/>
      <c r="S36" s="38"/>
      <c r="T36" s="38"/>
      <c r="U36" s="47"/>
      <c r="V36" s="47"/>
      <c r="W36" s="47"/>
      <c r="X36" s="47"/>
      <c r="Y36" s="47"/>
      <c r="Z36" s="47"/>
      <c r="AA36" s="47"/>
      <c r="AB36" s="39"/>
      <c r="AC36" s="39"/>
      <c r="AE36" s="36" t="str">
        <f t="shared" si="3"/>
        <v>·</v>
      </c>
      <c r="AF36" s="37" t="str">
        <f t="shared" si="4"/>
        <v>·</v>
      </c>
      <c r="AG36" s="35" t="str">
        <f>IF(OR(ISBLANK(AH36),ISBLANK(AN36),ISBLANK(AO36)),".",AH36+AN36+AO36)</f>
        <v>.</v>
      </c>
      <c r="AH36" s="35" t="str">
        <f t="shared" si="5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6"/>
        <v>0</v>
      </c>
      <c r="BQ36" s="40">
        <f t="shared" si="7"/>
        <v>0</v>
      </c>
      <c r="BR36" s="40">
        <f t="shared" si="8"/>
        <v>0</v>
      </c>
      <c r="BS36" s="40">
        <f t="shared" si="9"/>
        <v>0</v>
      </c>
      <c r="BT36" s="40">
        <f t="shared" si="9"/>
        <v>0</v>
      </c>
    </row>
    <row r="37" spans="1:72" ht="15" customHeight="1" outlineLevel="1" x14ac:dyDescent="0.25">
      <c r="A37" s="17"/>
      <c r="B37" s="17" t="s">
        <v>32</v>
      </c>
      <c r="C37" s="19" t="s">
        <v>366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 t="str">
        <f t="shared" si="0"/>
        <v>·</v>
      </c>
      <c r="K37" s="21" t="str">
        <f t="shared" si="1"/>
        <v>·</v>
      </c>
      <c r="L37" s="19" t="str">
        <f>IF(OR(ISBLANK(M37),ISBLANK(S37),ISBLANK(T37)),".",M37+S37+T37)</f>
        <v>.</v>
      </c>
      <c r="M37" s="19" t="str">
        <f t="shared" si="2"/>
        <v>.</v>
      </c>
      <c r="N37" s="44"/>
      <c r="O37" s="22"/>
      <c r="P37" s="22"/>
      <c r="Q37" s="22"/>
      <c r="R37" s="22"/>
      <c r="S37" s="22"/>
      <c r="T37" s="22"/>
      <c r="U37" s="45"/>
      <c r="V37" s="45"/>
      <c r="W37" s="45"/>
      <c r="X37" s="45"/>
      <c r="Y37" s="45"/>
      <c r="Z37" s="45"/>
      <c r="AA37" s="45"/>
      <c r="AB37" s="23"/>
      <c r="AC37" s="23"/>
      <c r="AE37" s="20" t="str">
        <f t="shared" si="3"/>
        <v>·</v>
      </c>
      <c r="AF37" s="21" t="str">
        <f t="shared" si="4"/>
        <v>·</v>
      </c>
      <c r="AG37" s="19" t="str">
        <f>IF(OR(ISBLANK(AH37),ISBLANK(AN37),ISBLANK(AO37)),".",AH37+AN37+AO37)</f>
        <v>.</v>
      </c>
      <c r="AH37" s="19" t="str">
        <f t="shared" si="5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6"/>
        <v>0</v>
      </c>
      <c r="BQ37" s="24">
        <f t="shared" si="7"/>
        <v>0</v>
      </c>
      <c r="BR37" s="24">
        <f t="shared" si="8"/>
        <v>0</v>
      </c>
      <c r="BS37" s="24">
        <f t="shared" si="9"/>
        <v>0</v>
      </c>
      <c r="BT37" s="24">
        <f t="shared" si="9"/>
        <v>0</v>
      </c>
    </row>
    <row r="38" spans="1:72" ht="15" customHeight="1" outlineLevel="1" x14ac:dyDescent="0.25">
      <c r="A38" s="33"/>
      <c r="B38" s="33" t="s">
        <v>32</v>
      </c>
      <c r="C38" s="35" t="s">
        <v>367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 t="str">
        <f t="shared" si="0"/>
        <v>·</v>
      </c>
      <c r="K38" s="37" t="str">
        <f t="shared" si="1"/>
        <v>·</v>
      </c>
      <c r="L38" s="35" t="str">
        <f>IF(OR(ISBLANK(M38),ISBLANK(S38),ISBLANK(T38)),".",M38+S38+T38)</f>
        <v>.</v>
      </c>
      <c r="M38" s="35" t="str">
        <f t="shared" si="2"/>
        <v>.</v>
      </c>
      <c r="N38" s="46"/>
      <c r="O38" s="38"/>
      <c r="P38" s="38"/>
      <c r="Q38" s="38"/>
      <c r="R38" s="38"/>
      <c r="S38" s="38"/>
      <c r="T38" s="38"/>
      <c r="U38" s="47"/>
      <c r="V38" s="47"/>
      <c r="W38" s="47"/>
      <c r="X38" s="47"/>
      <c r="Y38" s="47"/>
      <c r="Z38" s="47"/>
      <c r="AA38" s="47"/>
      <c r="AB38" s="39"/>
      <c r="AC38" s="39"/>
      <c r="AE38" s="36" t="str">
        <f t="shared" si="3"/>
        <v>·</v>
      </c>
      <c r="AF38" s="37" t="str">
        <f t="shared" si="4"/>
        <v>·</v>
      </c>
      <c r="AG38" s="35" t="str">
        <f>IF(OR(ISBLANK(AH38),ISBLANK(AN38),ISBLANK(AO38)),".",AH38+AN38+AO38)</f>
        <v>.</v>
      </c>
      <c r="AH38" s="35" t="str">
        <f t="shared" si="5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6"/>
        <v>0</v>
      </c>
      <c r="BQ38" s="40">
        <f t="shared" si="7"/>
        <v>0</v>
      </c>
      <c r="BR38" s="40">
        <f t="shared" si="8"/>
        <v>0</v>
      </c>
      <c r="BS38" s="40">
        <f t="shared" si="9"/>
        <v>0</v>
      </c>
      <c r="BT38" s="40">
        <f t="shared" si="9"/>
        <v>0</v>
      </c>
    </row>
    <row r="39" spans="1:72" ht="15.75" customHeight="1" outlineLevel="1" thickBot="1" x14ac:dyDescent="0.3">
      <c r="A39" s="17"/>
      <c r="B39" s="48" t="s">
        <v>32</v>
      </c>
      <c r="C39" s="49" t="s">
        <v>368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 t="str">
        <f t="shared" si="0"/>
        <v>·</v>
      </c>
      <c r="K39" s="52" t="str">
        <f t="shared" si="1"/>
        <v>·</v>
      </c>
      <c r="L39" s="49" t="str">
        <f>IF(OR(ISBLANK(M39),ISBLANK(S39),ISBLANK(T39)),".",M39+S39+T39)</f>
        <v>.</v>
      </c>
      <c r="M39" s="49" t="str">
        <f t="shared" si="2"/>
        <v>.</v>
      </c>
      <c r="N39" s="53"/>
      <c r="O39" s="54"/>
      <c r="P39" s="54"/>
      <c r="Q39" s="54"/>
      <c r="R39" s="54"/>
      <c r="S39" s="54"/>
      <c r="T39" s="54"/>
      <c r="U39" s="55"/>
      <c r="V39" s="55"/>
      <c r="W39" s="55"/>
      <c r="X39" s="55"/>
      <c r="Y39" s="55"/>
      <c r="Z39" s="55"/>
      <c r="AA39" s="55"/>
      <c r="AB39" s="56"/>
      <c r="AC39" s="56"/>
      <c r="AE39" s="51" t="str">
        <f t="shared" si="3"/>
        <v>·</v>
      </c>
      <c r="AF39" s="52" t="str">
        <f t="shared" si="4"/>
        <v>·</v>
      </c>
      <c r="AG39" s="49" t="str">
        <f>IF(OR(ISBLANK(AH39),ISBLANK(AN39),ISBLANK(AO39)),".",AH39+AN39+AO39)</f>
        <v>.</v>
      </c>
      <c r="AH39" s="49" t="str">
        <f t="shared" si="5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6"/>
        <v>0</v>
      </c>
      <c r="BQ39" s="57">
        <f t="shared" si="7"/>
        <v>0</v>
      </c>
      <c r="BR39" s="57">
        <f t="shared" si="8"/>
        <v>0</v>
      </c>
      <c r="BS39" s="57">
        <f t="shared" si="9"/>
        <v>0</v>
      </c>
      <c r="BT39" s="57">
        <f t="shared" si="9"/>
        <v>0</v>
      </c>
    </row>
    <row r="40" spans="1:72" ht="15" customHeight="1" x14ac:dyDescent="0.25">
      <c r="A40" s="33"/>
      <c r="B40" s="33" t="s">
        <v>75</v>
      </c>
      <c r="C40" s="35" t="s">
        <v>364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 t="str">
        <f t="shared" si="0"/>
        <v>·</v>
      </c>
      <c r="K40" s="37" t="str">
        <f t="shared" si="1"/>
        <v>·</v>
      </c>
      <c r="L40" s="35" t="str">
        <f>IF(OR(ISBLANK(M40),ISBLANK(S40),ISBLANK(T40)),".",M40+S40+T40)</f>
        <v>.</v>
      </c>
      <c r="M40" s="35" t="str">
        <f t="shared" si="2"/>
        <v>.</v>
      </c>
      <c r="N40" s="46"/>
      <c r="O40" s="38"/>
      <c r="P40" s="38"/>
      <c r="Q40" s="38"/>
      <c r="R40" s="38"/>
      <c r="S40" s="38"/>
      <c r="T40" s="38"/>
      <c r="U40" s="47"/>
      <c r="V40" s="47"/>
      <c r="W40" s="47"/>
      <c r="X40" s="47"/>
      <c r="Y40" s="47"/>
      <c r="Z40" s="47"/>
      <c r="AA40" s="47"/>
      <c r="AB40" s="39"/>
      <c r="AC40" s="39"/>
      <c r="AE40" s="36" t="str">
        <f t="shared" si="3"/>
        <v>·</v>
      </c>
      <c r="AF40" s="37" t="str">
        <f t="shared" si="4"/>
        <v>·</v>
      </c>
      <c r="AG40" s="35" t="str">
        <f>IF(OR(ISBLANK(AH40),ISBLANK(AN40),ISBLANK(AO40)),".",AH40+AN40+AO40)</f>
        <v>.</v>
      </c>
      <c r="AH40" s="35" t="str">
        <f t="shared" si="5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6"/>
        <v>0</v>
      </c>
      <c r="BQ40" s="40">
        <f t="shared" si="7"/>
        <v>0</v>
      </c>
      <c r="BR40" s="40">
        <f t="shared" si="8"/>
        <v>0</v>
      </c>
      <c r="BS40" s="40">
        <f t="shared" si="9"/>
        <v>0</v>
      </c>
      <c r="BT40" s="40">
        <f t="shared" si="9"/>
        <v>0</v>
      </c>
    </row>
    <row r="41" spans="1:72" ht="15" customHeight="1" outlineLevel="1" x14ac:dyDescent="0.25">
      <c r="A41" s="17"/>
      <c r="B41" s="17" t="s">
        <v>75</v>
      </c>
      <c r="C41" s="19" t="s">
        <v>365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 t="str">
        <f t="shared" si="0"/>
        <v>·</v>
      </c>
      <c r="K41" s="21" t="str">
        <f t="shared" si="1"/>
        <v>·</v>
      </c>
      <c r="L41" s="19" t="str">
        <f>IF(OR(ISBLANK(M41),ISBLANK(S41),ISBLANK(T41)),".",M41+S41+T41)</f>
        <v>.</v>
      </c>
      <c r="M41" s="19" t="str">
        <f t="shared" si="2"/>
        <v>.</v>
      </c>
      <c r="N41" s="44"/>
      <c r="O41" s="22"/>
      <c r="P41" s="22"/>
      <c r="Q41" s="22"/>
      <c r="R41" s="22"/>
      <c r="S41" s="22"/>
      <c r="T41" s="22"/>
      <c r="U41" s="45"/>
      <c r="V41" s="45"/>
      <c r="W41" s="45"/>
      <c r="X41" s="45"/>
      <c r="Y41" s="45"/>
      <c r="Z41" s="45"/>
      <c r="AA41" s="45"/>
      <c r="AB41" s="23"/>
      <c r="AC41" s="23"/>
      <c r="AE41" s="20" t="str">
        <f t="shared" si="3"/>
        <v>·</v>
      </c>
      <c r="AF41" s="21" t="str">
        <f t="shared" si="4"/>
        <v>·</v>
      </c>
      <c r="AG41" s="19" t="str">
        <f>IF(OR(ISBLANK(AH41),ISBLANK(AN41),ISBLANK(AO41)),".",AH41+AN41+AO41)</f>
        <v>.</v>
      </c>
      <c r="AH41" s="19" t="str">
        <f t="shared" si="5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6"/>
        <v>0</v>
      </c>
      <c r="BQ41" s="24">
        <f t="shared" si="7"/>
        <v>0</v>
      </c>
      <c r="BR41" s="24">
        <f t="shared" si="8"/>
        <v>0</v>
      </c>
      <c r="BS41" s="24">
        <f t="shared" si="9"/>
        <v>0</v>
      </c>
      <c r="BT41" s="24">
        <f t="shared" si="9"/>
        <v>0</v>
      </c>
    </row>
    <row r="42" spans="1:72" ht="15" customHeight="1" outlineLevel="1" x14ac:dyDescent="0.25">
      <c r="A42" s="33"/>
      <c r="B42" s="33" t="s">
        <v>75</v>
      </c>
      <c r="C42" s="35" t="s">
        <v>366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 t="str">
        <f t="shared" si="0"/>
        <v>·</v>
      </c>
      <c r="K42" s="37" t="str">
        <f t="shared" si="1"/>
        <v>·</v>
      </c>
      <c r="L42" s="35" t="str">
        <f>IF(OR(ISBLANK(M42),ISBLANK(S42),ISBLANK(T42)),".",M42+S42+T42)</f>
        <v>.</v>
      </c>
      <c r="M42" s="35" t="str">
        <f t="shared" si="2"/>
        <v>.</v>
      </c>
      <c r="N42" s="46"/>
      <c r="O42" s="38"/>
      <c r="P42" s="38"/>
      <c r="Q42" s="38"/>
      <c r="R42" s="38"/>
      <c r="S42" s="38"/>
      <c r="T42" s="38"/>
      <c r="U42" s="47"/>
      <c r="V42" s="47"/>
      <c r="W42" s="47"/>
      <c r="X42" s="47"/>
      <c r="Y42" s="47"/>
      <c r="Z42" s="47"/>
      <c r="AA42" s="47"/>
      <c r="AB42" s="39"/>
      <c r="AC42" s="39"/>
      <c r="AE42" s="36" t="str">
        <f t="shared" si="3"/>
        <v>·</v>
      </c>
      <c r="AF42" s="37" t="str">
        <f t="shared" si="4"/>
        <v>·</v>
      </c>
      <c r="AG42" s="35" t="str">
        <f>IF(OR(ISBLANK(AH42),ISBLANK(AN42),ISBLANK(AO42)),".",AH42+AN42+AO42)</f>
        <v>.</v>
      </c>
      <c r="AH42" s="35" t="str">
        <f t="shared" si="5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6"/>
        <v>0</v>
      </c>
      <c r="BQ42" s="40">
        <f t="shared" si="7"/>
        <v>0</v>
      </c>
      <c r="BR42" s="40">
        <f t="shared" si="8"/>
        <v>0</v>
      </c>
      <c r="BS42" s="40">
        <f t="shared" si="9"/>
        <v>0</v>
      </c>
      <c r="BT42" s="40">
        <f t="shared" si="9"/>
        <v>0</v>
      </c>
    </row>
    <row r="43" spans="1:72" ht="15" customHeight="1" outlineLevel="1" x14ac:dyDescent="0.25">
      <c r="A43" s="17"/>
      <c r="B43" s="17" t="s">
        <v>75</v>
      </c>
      <c r="C43" s="19" t="s">
        <v>367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 t="str">
        <f t="shared" si="0"/>
        <v>·</v>
      </c>
      <c r="K43" s="21" t="str">
        <f t="shared" si="1"/>
        <v>·</v>
      </c>
      <c r="L43" s="19" t="str">
        <f>IF(OR(ISBLANK(M43),ISBLANK(S43),ISBLANK(T43)),".",M43+S43+T43)</f>
        <v>.</v>
      </c>
      <c r="M43" s="19" t="str">
        <f t="shared" si="2"/>
        <v>.</v>
      </c>
      <c r="N43" s="44"/>
      <c r="O43" s="22"/>
      <c r="P43" s="22"/>
      <c r="Q43" s="22"/>
      <c r="R43" s="22"/>
      <c r="S43" s="22"/>
      <c r="T43" s="22"/>
      <c r="U43" s="45"/>
      <c r="V43" s="45"/>
      <c r="W43" s="45"/>
      <c r="X43" s="45"/>
      <c r="Y43" s="45"/>
      <c r="Z43" s="45"/>
      <c r="AA43" s="45"/>
      <c r="AB43" s="23"/>
      <c r="AC43" s="23"/>
      <c r="AE43" s="20" t="str">
        <f t="shared" si="3"/>
        <v>·</v>
      </c>
      <c r="AF43" s="21" t="str">
        <f t="shared" si="4"/>
        <v>·</v>
      </c>
      <c r="AG43" s="19" t="str">
        <f>IF(OR(ISBLANK(AH43),ISBLANK(AN43),ISBLANK(AO43)),".",AH43+AN43+AO43)</f>
        <v>.</v>
      </c>
      <c r="AH43" s="19" t="str">
        <f t="shared" si="5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6"/>
        <v>0</v>
      </c>
      <c r="BQ43" s="24">
        <f t="shared" si="7"/>
        <v>0</v>
      </c>
      <c r="BR43" s="24">
        <f t="shared" si="8"/>
        <v>0</v>
      </c>
      <c r="BS43" s="24">
        <f t="shared" si="9"/>
        <v>0</v>
      </c>
      <c r="BT43" s="24">
        <f t="shared" si="9"/>
        <v>0</v>
      </c>
    </row>
    <row r="44" spans="1:72" ht="15.75" customHeight="1" outlineLevel="1" thickBot="1" x14ac:dyDescent="0.3">
      <c r="A44" s="25"/>
      <c r="B44" s="25" t="s">
        <v>75</v>
      </c>
      <c r="C44" s="27" t="s">
        <v>368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 t="str">
        <f t="shared" si="0"/>
        <v>·</v>
      </c>
      <c r="K44" s="29" t="str">
        <f t="shared" si="1"/>
        <v>·</v>
      </c>
      <c r="L44" s="27" t="str">
        <f>IF(OR(ISBLANK(M44),ISBLANK(S44),ISBLANK(T44)),".",M44+S44+T44)</f>
        <v>.</v>
      </c>
      <c r="M44" s="27" t="str">
        <f t="shared" si="2"/>
        <v>.</v>
      </c>
      <c r="N44" s="58"/>
      <c r="O44" s="30"/>
      <c r="P44" s="30"/>
      <c r="Q44" s="30"/>
      <c r="R44" s="30"/>
      <c r="S44" s="30"/>
      <c r="T44" s="30"/>
      <c r="U44" s="59"/>
      <c r="V44" s="59"/>
      <c r="W44" s="59"/>
      <c r="X44" s="59"/>
      <c r="Y44" s="59"/>
      <c r="Z44" s="59"/>
      <c r="AA44" s="59"/>
      <c r="AB44" s="31"/>
      <c r="AC44" s="31"/>
      <c r="AE44" s="28" t="str">
        <f t="shared" si="3"/>
        <v>·</v>
      </c>
      <c r="AF44" s="29" t="str">
        <f t="shared" si="4"/>
        <v>·</v>
      </c>
      <c r="AG44" s="27" t="str">
        <f>IF(OR(ISBLANK(AH44),ISBLANK(AN44),ISBLANK(AO44)),".",AH44+AN44+AO44)</f>
        <v>.</v>
      </c>
      <c r="AH44" s="27" t="str">
        <f t="shared" si="5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6"/>
        <v>0</v>
      </c>
      <c r="BQ44" s="32">
        <f t="shared" si="7"/>
        <v>0</v>
      </c>
      <c r="BR44" s="32">
        <f t="shared" si="8"/>
        <v>0</v>
      </c>
      <c r="BS44" s="32">
        <f t="shared" si="9"/>
        <v>0</v>
      </c>
      <c r="BT44" s="32">
        <f t="shared" si="9"/>
        <v>0</v>
      </c>
    </row>
    <row r="45" spans="1:72" x14ac:dyDescent="0.25">
      <c r="B45" s="41" t="s">
        <v>7</v>
      </c>
      <c r="K45" s="42" t="e">
        <f>AVERAGE(K5:K14)</f>
        <v>#DIV/0!</v>
      </c>
      <c r="L45" s="42"/>
      <c r="M45" s="42"/>
      <c r="AF45" s="42" t="e">
        <f>AVERAGE(AF5:AF14)</f>
        <v>#DIV/0!</v>
      </c>
      <c r="AG45" s="42"/>
      <c r="AH45" s="42"/>
      <c r="AZ45" s="5" t="e">
        <f t="shared" ref="AZ45:BF45" si="10">AVERAGE(AZ5:AZ14)</f>
        <v>#DIV/0!</v>
      </c>
      <c r="BA45" s="5" t="e">
        <f t="shared" si="10"/>
        <v>#DIV/0!</v>
      </c>
      <c r="BB45" s="5" t="e">
        <f t="shared" si="10"/>
        <v>#DIV/0!</v>
      </c>
      <c r="BC45" s="5" t="e">
        <f t="shared" si="10"/>
        <v>#DIV/0!</v>
      </c>
      <c r="BD45" s="5" t="e">
        <f t="shared" si="10"/>
        <v>#DIV/0!</v>
      </c>
      <c r="BE45" s="5" t="e">
        <f t="shared" si="10"/>
        <v>#DIV/0!</v>
      </c>
      <c r="BF45" s="5" t="e">
        <f t="shared" si="10"/>
        <v>#DIV/0!</v>
      </c>
      <c r="BH45" s="5" t="e">
        <f t="shared" ref="BH45:BN45" si="11">AVERAGE(BH5:BH14)</f>
        <v>#DIV/0!</v>
      </c>
      <c r="BI45" s="5" t="e">
        <f t="shared" si="11"/>
        <v>#DIV/0!</v>
      </c>
      <c r="BJ45" s="5" t="e">
        <f t="shared" si="11"/>
        <v>#DIV/0!</v>
      </c>
      <c r="BK45" s="5" t="e">
        <f t="shared" si="11"/>
        <v>#DIV/0!</v>
      </c>
      <c r="BL45" s="5" t="e">
        <f t="shared" si="11"/>
        <v>#DIV/0!</v>
      </c>
      <c r="BM45" s="5" t="e">
        <f t="shared" si="11"/>
        <v>#DIV/0!</v>
      </c>
      <c r="BN45" s="5" t="e">
        <f t="shared" si="11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25">
      <c r="B46" s="41" t="s">
        <v>8</v>
      </c>
      <c r="K46" s="42" t="e">
        <f>AVERAGE(K15:K24)</f>
        <v>#DIV/0!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2">AVERAGE(AZ15:AZ24)</f>
        <v>#DIV/0!</v>
      </c>
      <c r="BA46" s="5" t="e">
        <f t="shared" si="12"/>
        <v>#DIV/0!</v>
      </c>
      <c r="BB46" s="5" t="e">
        <f t="shared" si="12"/>
        <v>#DIV/0!</v>
      </c>
      <c r="BC46" s="5" t="e">
        <f t="shared" si="12"/>
        <v>#DIV/0!</v>
      </c>
      <c r="BD46" s="5" t="e">
        <f t="shared" si="12"/>
        <v>#DIV/0!</v>
      </c>
      <c r="BE46" s="5" t="e">
        <f t="shared" si="12"/>
        <v>#DIV/0!</v>
      </c>
      <c r="BF46" s="5" t="e">
        <f t="shared" si="12"/>
        <v>#DIV/0!</v>
      </c>
      <c r="BH46" s="5" t="e">
        <f t="shared" ref="BH46:BN46" si="13">AVERAGE(BH15:BH24)</f>
        <v>#DIV/0!</v>
      </c>
      <c r="BI46" s="5" t="e">
        <f t="shared" si="13"/>
        <v>#DIV/0!</v>
      </c>
      <c r="BJ46" s="5" t="e">
        <f t="shared" si="13"/>
        <v>#DIV/0!</v>
      </c>
      <c r="BK46" s="5" t="e">
        <f t="shared" si="13"/>
        <v>#DIV/0!</v>
      </c>
      <c r="BL46" s="5" t="e">
        <f t="shared" si="13"/>
        <v>#DIV/0!</v>
      </c>
      <c r="BM46" s="5" t="e">
        <f t="shared" si="13"/>
        <v>#DIV/0!</v>
      </c>
      <c r="BN46" s="5" t="e">
        <f t="shared" si="13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25">
      <c r="B47" s="41" t="s">
        <v>9</v>
      </c>
      <c r="K47" s="42" t="e">
        <f>AVERAGE(K25:K44)</f>
        <v>#DIV/0!</v>
      </c>
      <c r="L47" s="42"/>
      <c r="M47" s="42"/>
      <c r="AF47" s="42" t="e">
        <f>AVERAGE(AF25:AF44)</f>
        <v>#DIV/0!</v>
      </c>
      <c r="AG47" s="42"/>
      <c r="AH47" s="42"/>
      <c r="AZ47" s="5" t="e">
        <f t="shared" ref="AZ47:BF47" si="14">AVERAGE(AZ25:AZ44)</f>
        <v>#DIV/0!</v>
      </c>
      <c r="BA47" s="5" t="e">
        <f t="shared" si="14"/>
        <v>#DIV/0!</v>
      </c>
      <c r="BB47" s="5" t="e">
        <f t="shared" si="14"/>
        <v>#DIV/0!</v>
      </c>
      <c r="BC47" s="5" t="e">
        <f t="shared" si="14"/>
        <v>#DIV/0!</v>
      </c>
      <c r="BD47" s="5" t="e">
        <f t="shared" si="14"/>
        <v>#DIV/0!</v>
      </c>
      <c r="BE47" s="5" t="e">
        <f t="shared" si="14"/>
        <v>#DIV/0!</v>
      </c>
      <c r="BF47" s="5" t="e">
        <f t="shared" si="14"/>
        <v>#DIV/0!</v>
      </c>
      <c r="BH47" s="5" t="e">
        <f t="shared" ref="BH47:BN47" si="15">AVERAGE(BH25:BH44)</f>
        <v>#DIV/0!</v>
      </c>
      <c r="BI47" s="5" t="e">
        <f t="shared" si="15"/>
        <v>#DIV/0!</v>
      </c>
      <c r="BJ47" s="5" t="e">
        <f t="shared" si="15"/>
        <v>#DIV/0!</v>
      </c>
      <c r="BK47" s="5" t="e">
        <f t="shared" si="15"/>
        <v>#DIV/0!</v>
      </c>
      <c r="BL47" s="5" t="e">
        <f t="shared" si="15"/>
        <v>#DIV/0!</v>
      </c>
      <c r="BM47" s="5" t="e">
        <f t="shared" si="15"/>
        <v>#DIV/0!</v>
      </c>
      <c r="BN47" s="5" t="e">
        <f t="shared" si="15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25">
      <c r="B48" s="41" t="s">
        <v>10</v>
      </c>
      <c r="K48" s="42" t="e">
        <f>AVERAGE(K5:K44)</f>
        <v>#DIV/0!</v>
      </c>
      <c r="L48" s="42"/>
      <c r="M48" s="42"/>
      <c r="AF48" s="42" t="e">
        <f>AVERAGE(AF5:AF44)</f>
        <v>#DIV/0!</v>
      </c>
      <c r="AG48" s="42"/>
      <c r="AH48" s="42"/>
      <c r="AJ48" s="98"/>
      <c r="AK48" s="98"/>
      <c r="AZ48" s="5" t="e">
        <f t="shared" ref="AZ48:BF48" si="16">AVERAGE(AZ5:AZ44)</f>
        <v>#DIV/0!</v>
      </c>
      <c r="BA48" s="5" t="e">
        <f t="shared" si="16"/>
        <v>#DIV/0!</v>
      </c>
      <c r="BB48" s="5" t="e">
        <f t="shared" si="16"/>
        <v>#DIV/0!</v>
      </c>
      <c r="BC48" s="5" t="e">
        <f t="shared" si="16"/>
        <v>#DIV/0!</v>
      </c>
      <c r="BD48" s="5" t="e">
        <f t="shared" si="16"/>
        <v>#DIV/0!</v>
      </c>
      <c r="BE48" s="5" t="e">
        <f t="shared" si="16"/>
        <v>#DIV/0!</v>
      </c>
      <c r="BF48" s="5" t="e">
        <f t="shared" si="16"/>
        <v>#DIV/0!</v>
      </c>
      <c r="BH48" s="5" t="e">
        <f t="shared" ref="BH48:BN48" si="17">AVERAGE(BH5:BH44)</f>
        <v>#DIV/0!</v>
      </c>
      <c r="BI48" s="5" t="e">
        <f t="shared" si="17"/>
        <v>#DIV/0!</v>
      </c>
      <c r="BJ48" s="5" t="e">
        <f t="shared" si="17"/>
        <v>#DIV/0!</v>
      </c>
      <c r="BK48" s="5" t="e">
        <f t="shared" si="17"/>
        <v>#DIV/0!</v>
      </c>
      <c r="BL48" s="5" t="e">
        <f t="shared" si="17"/>
        <v>#DIV/0!</v>
      </c>
      <c r="BM48" s="5" t="e">
        <f t="shared" si="17"/>
        <v>#DIV/0!</v>
      </c>
      <c r="BN48" s="5" t="e">
        <f t="shared" si="17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25">
      <c r="A49" s="41" t="s">
        <v>180</v>
      </c>
      <c r="B49" s="41" t="s">
        <v>181</v>
      </c>
      <c r="AB49" s="43">
        <f>SUM(AB5:AB14,AB15:AB24,AB25:AB44)</f>
        <v>0</v>
      </c>
      <c r="AC49" s="43">
        <f>SUM(AC5:AC14,AC15:AC24,AC25:AC44)</f>
        <v>0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25">
      <c r="B50" s="41" t="s">
        <v>182</v>
      </c>
      <c r="AW50" s="8" t="e">
        <f>AW49/AB49</f>
        <v>#DIV/0!</v>
      </c>
      <c r="AX50" s="8" t="e">
        <f>AX49/AC49</f>
        <v>#DIV/0!</v>
      </c>
    </row>
    <row r="53" spans="1:50" ht="15.75" customHeight="1" thickBot="1" x14ac:dyDescent="0.3"/>
    <row r="54" spans="1:50" x14ac:dyDescent="0.25">
      <c r="AP54" s="88">
        <f t="shared" ref="AP54:AP93" si="18">AP5-U5</f>
        <v>0</v>
      </c>
      <c r="AQ54" s="89">
        <f t="shared" ref="AQ54:AQ93" si="19">AQ5-V5</f>
        <v>0</v>
      </c>
      <c r="AR54" s="89">
        <f t="shared" ref="AR54:AR93" si="20">AR5-W5</f>
        <v>0</v>
      </c>
      <c r="AS54" s="89">
        <f t="shared" ref="AS54:AS93" si="21">AS5-X5</f>
        <v>0</v>
      </c>
      <c r="AT54" s="89">
        <f t="shared" ref="AT54:AT93" si="22">AT5-Y5</f>
        <v>0</v>
      </c>
      <c r="AU54" s="89">
        <f t="shared" ref="AU54:AU93" si="23">AU5-Z5</f>
        <v>0</v>
      </c>
      <c r="AV54" s="90">
        <f t="shared" ref="AV54:AV93" si="24">AV5-AA5</f>
        <v>0</v>
      </c>
    </row>
    <row r="55" spans="1:50" x14ac:dyDescent="0.25">
      <c r="AP55" s="91">
        <f t="shared" si="18"/>
        <v>0</v>
      </c>
      <c r="AQ55" s="92">
        <f t="shared" si="19"/>
        <v>0</v>
      </c>
      <c r="AR55" s="92">
        <f t="shared" si="20"/>
        <v>0</v>
      </c>
      <c r="AS55" s="92">
        <f t="shared" si="21"/>
        <v>0</v>
      </c>
      <c r="AT55" s="92">
        <f t="shared" si="22"/>
        <v>0</v>
      </c>
      <c r="AU55" s="92">
        <f t="shared" si="23"/>
        <v>0</v>
      </c>
      <c r="AV55" s="93">
        <f t="shared" si="24"/>
        <v>0</v>
      </c>
    </row>
    <row r="56" spans="1:50" x14ac:dyDescent="0.25">
      <c r="AP56" s="91">
        <f t="shared" si="18"/>
        <v>0</v>
      </c>
      <c r="AQ56" s="92">
        <f t="shared" si="19"/>
        <v>0</v>
      </c>
      <c r="AR56" s="92">
        <f t="shared" si="20"/>
        <v>0</v>
      </c>
      <c r="AS56" s="92">
        <f t="shared" si="21"/>
        <v>0</v>
      </c>
      <c r="AT56" s="92">
        <f t="shared" si="22"/>
        <v>0</v>
      </c>
      <c r="AU56" s="92">
        <f t="shared" si="23"/>
        <v>0</v>
      </c>
      <c r="AV56" s="93">
        <f t="shared" si="24"/>
        <v>0</v>
      </c>
    </row>
    <row r="57" spans="1:50" x14ac:dyDescent="0.25">
      <c r="AP57" s="91">
        <f t="shared" si="18"/>
        <v>0</v>
      </c>
      <c r="AQ57" s="92">
        <f t="shared" si="19"/>
        <v>0</v>
      </c>
      <c r="AR57" s="92">
        <f t="shared" si="20"/>
        <v>0</v>
      </c>
      <c r="AS57" s="92">
        <f t="shared" si="21"/>
        <v>0</v>
      </c>
      <c r="AT57" s="92">
        <f t="shared" si="22"/>
        <v>0</v>
      </c>
      <c r="AU57" s="92">
        <f t="shared" si="23"/>
        <v>0</v>
      </c>
      <c r="AV57" s="93">
        <f t="shared" si="24"/>
        <v>0</v>
      </c>
    </row>
    <row r="58" spans="1:50" x14ac:dyDescent="0.25">
      <c r="AP58" s="91">
        <f t="shared" si="18"/>
        <v>0</v>
      </c>
      <c r="AQ58" s="92">
        <f t="shared" si="19"/>
        <v>0</v>
      </c>
      <c r="AR58" s="92">
        <f t="shared" si="20"/>
        <v>0</v>
      </c>
      <c r="AS58" s="92">
        <f t="shared" si="21"/>
        <v>0</v>
      </c>
      <c r="AT58" s="92">
        <f t="shared" si="22"/>
        <v>0</v>
      </c>
      <c r="AU58" s="92">
        <f t="shared" si="23"/>
        <v>0</v>
      </c>
      <c r="AV58" s="93">
        <f t="shared" si="24"/>
        <v>0</v>
      </c>
    </row>
    <row r="59" spans="1:50" x14ac:dyDescent="0.25">
      <c r="AP59" s="91">
        <f t="shared" si="18"/>
        <v>0</v>
      </c>
      <c r="AQ59" s="92">
        <f t="shared" si="19"/>
        <v>0</v>
      </c>
      <c r="AR59" s="92">
        <f t="shared" si="20"/>
        <v>0</v>
      </c>
      <c r="AS59" s="92">
        <f t="shared" si="21"/>
        <v>0</v>
      </c>
      <c r="AT59" s="92">
        <f t="shared" si="22"/>
        <v>0</v>
      </c>
      <c r="AU59" s="92">
        <f t="shared" si="23"/>
        <v>0</v>
      </c>
      <c r="AV59" s="93">
        <f t="shared" si="24"/>
        <v>0</v>
      </c>
    </row>
    <row r="60" spans="1:50" x14ac:dyDescent="0.25">
      <c r="AP60" s="91">
        <f t="shared" si="18"/>
        <v>0</v>
      </c>
      <c r="AQ60" s="92">
        <f t="shared" si="19"/>
        <v>0</v>
      </c>
      <c r="AR60" s="92">
        <f t="shared" si="20"/>
        <v>0</v>
      </c>
      <c r="AS60" s="92">
        <f t="shared" si="21"/>
        <v>0</v>
      </c>
      <c r="AT60" s="92">
        <f t="shared" si="22"/>
        <v>0</v>
      </c>
      <c r="AU60" s="92">
        <f t="shared" si="23"/>
        <v>0</v>
      </c>
      <c r="AV60" s="93">
        <f t="shared" si="24"/>
        <v>0</v>
      </c>
    </row>
    <row r="61" spans="1:50" x14ac:dyDescent="0.25">
      <c r="AP61" s="91">
        <f t="shared" si="18"/>
        <v>0</v>
      </c>
      <c r="AQ61" s="92">
        <f t="shared" si="19"/>
        <v>0</v>
      </c>
      <c r="AR61" s="92">
        <f t="shared" si="20"/>
        <v>0</v>
      </c>
      <c r="AS61" s="92">
        <f t="shared" si="21"/>
        <v>0</v>
      </c>
      <c r="AT61" s="92">
        <f t="shared" si="22"/>
        <v>0</v>
      </c>
      <c r="AU61" s="92">
        <f t="shared" si="23"/>
        <v>0</v>
      </c>
      <c r="AV61" s="93">
        <f t="shared" si="24"/>
        <v>0</v>
      </c>
    </row>
    <row r="62" spans="1:50" x14ac:dyDescent="0.25">
      <c r="AP62" s="91">
        <f t="shared" si="18"/>
        <v>0</v>
      </c>
      <c r="AQ62" s="92">
        <f t="shared" si="19"/>
        <v>0</v>
      </c>
      <c r="AR62" s="92">
        <f t="shared" si="20"/>
        <v>0</v>
      </c>
      <c r="AS62" s="92">
        <f t="shared" si="21"/>
        <v>0</v>
      </c>
      <c r="AT62" s="92">
        <f t="shared" si="22"/>
        <v>0</v>
      </c>
      <c r="AU62" s="92">
        <f t="shared" si="23"/>
        <v>0</v>
      </c>
      <c r="AV62" s="93">
        <f t="shared" si="24"/>
        <v>0</v>
      </c>
    </row>
    <row r="63" spans="1:50" x14ac:dyDescent="0.25">
      <c r="AP63" s="91">
        <f t="shared" si="18"/>
        <v>0</v>
      </c>
      <c r="AQ63" s="92">
        <f t="shared" si="19"/>
        <v>0</v>
      </c>
      <c r="AR63" s="92">
        <f t="shared" si="20"/>
        <v>0</v>
      </c>
      <c r="AS63" s="92">
        <f t="shared" si="21"/>
        <v>0</v>
      </c>
      <c r="AT63" s="92">
        <f t="shared" si="22"/>
        <v>0</v>
      </c>
      <c r="AU63" s="92">
        <f t="shared" si="23"/>
        <v>0</v>
      </c>
      <c r="AV63" s="93">
        <f t="shared" si="24"/>
        <v>0</v>
      </c>
    </row>
    <row r="64" spans="1:50" x14ac:dyDescent="0.25">
      <c r="AP64" s="91">
        <f t="shared" si="18"/>
        <v>0</v>
      </c>
      <c r="AQ64" s="92">
        <f t="shared" si="19"/>
        <v>0</v>
      </c>
      <c r="AR64" s="92">
        <f t="shared" si="20"/>
        <v>0</v>
      </c>
      <c r="AS64" s="92">
        <f t="shared" si="21"/>
        <v>0</v>
      </c>
      <c r="AT64" s="92">
        <f t="shared" si="22"/>
        <v>0</v>
      </c>
      <c r="AU64" s="92">
        <f t="shared" si="23"/>
        <v>0</v>
      </c>
      <c r="AV64" s="93">
        <f t="shared" si="24"/>
        <v>0</v>
      </c>
    </row>
    <row r="65" spans="42:48" x14ac:dyDescent="0.25">
      <c r="AP65" s="91">
        <f t="shared" si="18"/>
        <v>0</v>
      </c>
      <c r="AQ65" s="92">
        <f t="shared" si="19"/>
        <v>0</v>
      </c>
      <c r="AR65" s="92">
        <f t="shared" si="20"/>
        <v>0</v>
      </c>
      <c r="AS65" s="92">
        <f t="shared" si="21"/>
        <v>0</v>
      </c>
      <c r="AT65" s="92">
        <f t="shared" si="22"/>
        <v>0</v>
      </c>
      <c r="AU65" s="92">
        <f t="shared" si="23"/>
        <v>0</v>
      </c>
      <c r="AV65" s="93">
        <f t="shared" si="24"/>
        <v>0</v>
      </c>
    </row>
    <row r="66" spans="42:48" x14ac:dyDescent="0.25">
      <c r="AP66" s="91">
        <f t="shared" si="18"/>
        <v>0</v>
      </c>
      <c r="AQ66" s="92">
        <f t="shared" si="19"/>
        <v>0</v>
      </c>
      <c r="AR66" s="92">
        <f t="shared" si="20"/>
        <v>0</v>
      </c>
      <c r="AS66" s="92">
        <f t="shared" si="21"/>
        <v>0</v>
      </c>
      <c r="AT66" s="92">
        <f t="shared" si="22"/>
        <v>0</v>
      </c>
      <c r="AU66" s="92">
        <f t="shared" si="23"/>
        <v>0</v>
      </c>
      <c r="AV66" s="93">
        <f t="shared" si="24"/>
        <v>0</v>
      </c>
    </row>
    <row r="67" spans="42:48" x14ac:dyDescent="0.25">
      <c r="AP67" s="91">
        <f t="shared" si="18"/>
        <v>0</v>
      </c>
      <c r="AQ67" s="92">
        <f t="shared" si="19"/>
        <v>0</v>
      </c>
      <c r="AR67" s="92">
        <f t="shared" si="20"/>
        <v>0</v>
      </c>
      <c r="AS67" s="92">
        <f t="shared" si="21"/>
        <v>0</v>
      </c>
      <c r="AT67" s="92">
        <f t="shared" si="22"/>
        <v>0</v>
      </c>
      <c r="AU67" s="92">
        <f t="shared" si="23"/>
        <v>0</v>
      </c>
      <c r="AV67" s="93">
        <f t="shared" si="24"/>
        <v>0</v>
      </c>
    </row>
    <row r="68" spans="42:48" x14ac:dyDescent="0.25">
      <c r="AP68" s="91">
        <f t="shared" si="18"/>
        <v>0</v>
      </c>
      <c r="AQ68" s="92">
        <f t="shared" si="19"/>
        <v>0</v>
      </c>
      <c r="AR68" s="92">
        <f t="shared" si="20"/>
        <v>0</v>
      </c>
      <c r="AS68" s="92">
        <f t="shared" si="21"/>
        <v>0</v>
      </c>
      <c r="AT68" s="92">
        <f t="shared" si="22"/>
        <v>0</v>
      </c>
      <c r="AU68" s="92">
        <f t="shared" si="23"/>
        <v>0</v>
      </c>
      <c r="AV68" s="93">
        <f t="shared" si="24"/>
        <v>0</v>
      </c>
    </row>
    <row r="69" spans="42:48" x14ac:dyDescent="0.25">
      <c r="AP69" s="91">
        <f t="shared" si="18"/>
        <v>0</v>
      </c>
      <c r="AQ69" s="92">
        <f t="shared" si="19"/>
        <v>0</v>
      </c>
      <c r="AR69" s="92">
        <f t="shared" si="20"/>
        <v>0</v>
      </c>
      <c r="AS69" s="92">
        <f t="shared" si="21"/>
        <v>0</v>
      </c>
      <c r="AT69" s="92">
        <f t="shared" si="22"/>
        <v>0</v>
      </c>
      <c r="AU69" s="92">
        <f t="shared" si="23"/>
        <v>0</v>
      </c>
      <c r="AV69" s="93">
        <f t="shared" si="24"/>
        <v>0</v>
      </c>
    </row>
    <row r="70" spans="42:48" x14ac:dyDescent="0.25">
      <c r="AP70" s="91">
        <f t="shared" si="18"/>
        <v>0</v>
      </c>
      <c r="AQ70" s="92">
        <f t="shared" si="19"/>
        <v>0</v>
      </c>
      <c r="AR70" s="92">
        <f t="shared" si="20"/>
        <v>0</v>
      </c>
      <c r="AS70" s="92">
        <f t="shared" si="21"/>
        <v>0</v>
      </c>
      <c r="AT70" s="92">
        <f t="shared" si="22"/>
        <v>0</v>
      </c>
      <c r="AU70" s="92">
        <f t="shared" si="23"/>
        <v>0</v>
      </c>
      <c r="AV70" s="93">
        <f t="shared" si="24"/>
        <v>0</v>
      </c>
    </row>
    <row r="71" spans="42:48" x14ac:dyDescent="0.25">
      <c r="AP71" s="91">
        <f t="shared" si="18"/>
        <v>0</v>
      </c>
      <c r="AQ71" s="92">
        <f t="shared" si="19"/>
        <v>0</v>
      </c>
      <c r="AR71" s="92">
        <f t="shared" si="20"/>
        <v>0</v>
      </c>
      <c r="AS71" s="92">
        <f t="shared" si="21"/>
        <v>0</v>
      </c>
      <c r="AT71" s="92">
        <f t="shared" si="22"/>
        <v>0</v>
      </c>
      <c r="AU71" s="92">
        <f t="shared" si="23"/>
        <v>0</v>
      </c>
      <c r="AV71" s="93">
        <f t="shared" si="24"/>
        <v>0</v>
      </c>
    </row>
    <row r="72" spans="42:48" x14ac:dyDescent="0.25">
      <c r="AP72" s="91">
        <f t="shared" si="18"/>
        <v>0</v>
      </c>
      <c r="AQ72" s="92">
        <f t="shared" si="19"/>
        <v>0</v>
      </c>
      <c r="AR72" s="92">
        <f t="shared" si="20"/>
        <v>0</v>
      </c>
      <c r="AS72" s="92">
        <f t="shared" si="21"/>
        <v>0</v>
      </c>
      <c r="AT72" s="92">
        <f t="shared" si="22"/>
        <v>0</v>
      </c>
      <c r="AU72" s="92">
        <f t="shared" si="23"/>
        <v>0</v>
      </c>
      <c r="AV72" s="93">
        <f t="shared" si="24"/>
        <v>0</v>
      </c>
    </row>
    <row r="73" spans="42:48" x14ac:dyDescent="0.25">
      <c r="AP73" s="91">
        <f t="shared" si="18"/>
        <v>0</v>
      </c>
      <c r="AQ73" s="92">
        <f t="shared" si="19"/>
        <v>0</v>
      </c>
      <c r="AR73" s="92">
        <f t="shared" si="20"/>
        <v>0</v>
      </c>
      <c r="AS73" s="92">
        <f t="shared" si="21"/>
        <v>0</v>
      </c>
      <c r="AT73" s="92">
        <f t="shared" si="22"/>
        <v>0</v>
      </c>
      <c r="AU73" s="92">
        <f t="shared" si="23"/>
        <v>0</v>
      </c>
      <c r="AV73" s="93">
        <f t="shared" si="24"/>
        <v>0</v>
      </c>
    </row>
    <row r="74" spans="42:48" x14ac:dyDescent="0.25">
      <c r="AP74" s="91">
        <f t="shared" si="18"/>
        <v>0</v>
      </c>
      <c r="AQ74" s="92">
        <f t="shared" si="19"/>
        <v>0</v>
      </c>
      <c r="AR74" s="92">
        <f t="shared" si="20"/>
        <v>0</v>
      </c>
      <c r="AS74" s="92">
        <f t="shared" si="21"/>
        <v>0</v>
      </c>
      <c r="AT74" s="92">
        <f t="shared" si="22"/>
        <v>0</v>
      </c>
      <c r="AU74" s="92">
        <f t="shared" si="23"/>
        <v>0</v>
      </c>
      <c r="AV74" s="93">
        <f t="shared" si="24"/>
        <v>0</v>
      </c>
    </row>
    <row r="75" spans="42:48" x14ac:dyDescent="0.25">
      <c r="AP75" s="91">
        <f t="shared" si="18"/>
        <v>0</v>
      </c>
      <c r="AQ75" s="92">
        <f t="shared" si="19"/>
        <v>0</v>
      </c>
      <c r="AR75" s="92">
        <f t="shared" si="20"/>
        <v>0</v>
      </c>
      <c r="AS75" s="92">
        <f t="shared" si="21"/>
        <v>0</v>
      </c>
      <c r="AT75" s="92">
        <f t="shared" si="22"/>
        <v>0</v>
      </c>
      <c r="AU75" s="92">
        <f t="shared" si="23"/>
        <v>0</v>
      </c>
      <c r="AV75" s="93">
        <f t="shared" si="24"/>
        <v>0</v>
      </c>
    </row>
    <row r="76" spans="42:48" x14ac:dyDescent="0.25">
      <c r="AP76" s="91">
        <f t="shared" si="18"/>
        <v>0</v>
      </c>
      <c r="AQ76" s="92">
        <f t="shared" si="19"/>
        <v>0</v>
      </c>
      <c r="AR76" s="92">
        <f t="shared" si="20"/>
        <v>0</v>
      </c>
      <c r="AS76" s="92">
        <f t="shared" si="21"/>
        <v>0</v>
      </c>
      <c r="AT76" s="92">
        <f t="shared" si="22"/>
        <v>0</v>
      </c>
      <c r="AU76" s="92">
        <f t="shared" si="23"/>
        <v>0</v>
      </c>
      <c r="AV76" s="93">
        <f t="shared" si="24"/>
        <v>0</v>
      </c>
    </row>
    <row r="77" spans="42:48" x14ac:dyDescent="0.25">
      <c r="AP77" s="91">
        <f t="shared" si="18"/>
        <v>0</v>
      </c>
      <c r="AQ77" s="92">
        <f t="shared" si="19"/>
        <v>0</v>
      </c>
      <c r="AR77" s="92">
        <f t="shared" si="20"/>
        <v>0</v>
      </c>
      <c r="AS77" s="92">
        <f t="shared" si="21"/>
        <v>0</v>
      </c>
      <c r="AT77" s="92">
        <f t="shared" si="22"/>
        <v>0</v>
      </c>
      <c r="AU77" s="92">
        <f t="shared" si="23"/>
        <v>0</v>
      </c>
      <c r="AV77" s="93">
        <f t="shared" si="24"/>
        <v>0</v>
      </c>
    </row>
    <row r="78" spans="42:48" x14ac:dyDescent="0.25">
      <c r="AP78" s="91">
        <f t="shared" si="18"/>
        <v>0</v>
      </c>
      <c r="AQ78" s="92">
        <f t="shared" si="19"/>
        <v>0</v>
      </c>
      <c r="AR78" s="92">
        <f t="shared" si="20"/>
        <v>0</v>
      </c>
      <c r="AS78" s="92">
        <f t="shared" si="21"/>
        <v>0</v>
      </c>
      <c r="AT78" s="92">
        <f t="shared" si="22"/>
        <v>0</v>
      </c>
      <c r="AU78" s="92">
        <f t="shared" si="23"/>
        <v>0</v>
      </c>
      <c r="AV78" s="93">
        <f t="shared" si="24"/>
        <v>0</v>
      </c>
    </row>
    <row r="79" spans="42:48" x14ac:dyDescent="0.25">
      <c r="AP79" s="91">
        <f t="shared" si="18"/>
        <v>0</v>
      </c>
      <c r="AQ79" s="92">
        <f t="shared" si="19"/>
        <v>0</v>
      </c>
      <c r="AR79" s="92">
        <f t="shared" si="20"/>
        <v>0</v>
      </c>
      <c r="AS79" s="92">
        <f t="shared" si="21"/>
        <v>0</v>
      </c>
      <c r="AT79" s="92">
        <f t="shared" si="22"/>
        <v>0</v>
      </c>
      <c r="AU79" s="92">
        <f t="shared" si="23"/>
        <v>0</v>
      </c>
      <c r="AV79" s="93">
        <f t="shared" si="24"/>
        <v>0</v>
      </c>
    </row>
    <row r="80" spans="42:48" x14ac:dyDescent="0.25">
      <c r="AP80" s="91">
        <f t="shared" si="18"/>
        <v>0</v>
      </c>
      <c r="AQ80" s="92">
        <f t="shared" si="19"/>
        <v>0</v>
      </c>
      <c r="AR80" s="92">
        <f t="shared" si="20"/>
        <v>0</v>
      </c>
      <c r="AS80" s="92">
        <f t="shared" si="21"/>
        <v>0</v>
      </c>
      <c r="AT80" s="92">
        <f t="shared" si="22"/>
        <v>0</v>
      </c>
      <c r="AU80" s="92">
        <f t="shared" si="23"/>
        <v>0</v>
      </c>
      <c r="AV80" s="93">
        <f t="shared" si="24"/>
        <v>0</v>
      </c>
    </row>
    <row r="81" spans="42:48" x14ac:dyDescent="0.25">
      <c r="AP81" s="91">
        <f t="shared" si="18"/>
        <v>0</v>
      </c>
      <c r="AQ81" s="92">
        <f t="shared" si="19"/>
        <v>0</v>
      </c>
      <c r="AR81" s="92">
        <f t="shared" si="20"/>
        <v>0</v>
      </c>
      <c r="AS81" s="92">
        <f t="shared" si="21"/>
        <v>0</v>
      </c>
      <c r="AT81" s="92">
        <f t="shared" si="22"/>
        <v>0</v>
      </c>
      <c r="AU81" s="92">
        <f t="shared" si="23"/>
        <v>0</v>
      </c>
      <c r="AV81" s="93">
        <f t="shared" si="24"/>
        <v>0</v>
      </c>
    </row>
    <row r="82" spans="42:48" x14ac:dyDescent="0.25">
      <c r="AP82" s="91">
        <f t="shared" si="18"/>
        <v>0</v>
      </c>
      <c r="AQ82" s="92">
        <f t="shared" si="19"/>
        <v>0</v>
      </c>
      <c r="AR82" s="92">
        <f t="shared" si="20"/>
        <v>0</v>
      </c>
      <c r="AS82" s="92">
        <f t="shared" si="21"/>
        <v>0</v>
      </c>
      <c r="AT82" s="92">
        <f t="shared" si="22"/>
        <v>0</v>
      </c>
      <c r="AU82" s="92">
        <f t="shared" si="23"/>
        <v>0</v>
      </c>
      <c r="AV82" s="93">
        <f t="shared" si="24"/>
        <v>0</v>
      </c>
    </row>
    <row r="83" spans="42:48" x14ac:dyDescent="0.25">
      <c r="AP83" s="91">
        <f t="shared" si="18"/>
        <v>0</v>
      </c>
      <c r="AQ83" s="92">
        <f t="shared" si="19"/>
        <v>0</v>
      </c>
      <c r="AR83" s="92">
        <f t="shared" si="20"/>
        <v>0</v>
      </c>
      <c r="AS83" s="92">
        <f t="shared" si="21"/>
        <v>0</v>
      </c>
      <c r="AT83" s="92">
        <f t="shared" si="22"/>
        <v>0</v>
      </c>
      <c r="AU83" s="92">
        <f t="shared" si="23"/>
        <v>0</v>
      </c>
      <c r="AV83" s="93">
        <f t="shared" si="24"/>
        <v>0</v>
      </c>
    </row>
    <row r="84" spans="42:48" x14ac:dyDescent="0.25">
      <c r="AP84" s="91">
        <f t="shared" si="18"/>
        <v>0</v>
      </c>
      <c r="AQ84" s="92">
        <f t="shared" si="19"/>
        <v>0</v>
      </c>
      <c r="AR84" s="92">
        <f t="shared" si="20"/>
        <v>0</v>
      </c>
      <c r="AS84" s="92">
        <f t="shared" si="21"/>
        <v>0</v>
      </c>
      <c r="AT84" s="92">
        <f t="shared" si="22"/>
        <v>0</v>
      </c>
      <c r="AU84" s="92">
        <f t="shared" si="23"/>
        <v>0</v>
      </c>
      <c r="AV84" s="93">
        <f t="shared" si="24"/>
        <v>0</v>
      </c>
    </row>
    <row r="85" spans="42:48" x14ac:dyDescent="0.25">
      <c r="AP85" s="91">
        <f t="shared" si="18"/>
        <v>0</v>
      </c>
      <c r="AQ85" s="92">
        <f t="shared" si="19"/>
        <v>0</v>
      </c>
      <c r="AR85" s="92">
        <f t="shared" si="20"/>
        <v>0</v>
      </c>
      <c r="AS85" s="92">
        <f t="shared" si="21"/>
        <v>0</v>
      </c>
      <c r="AT85" s="92">
        <f t="shared" si="22"/>
        <v>0</v>
      </c>
      <c r="AU85" s="92">
        <f t="shared" si="23"/>
        <v>0</v>
      </c>
      <c r="AV85" s="93">
        <f t="shared" si="24"/>
        <v>0</v>
      </c>
    </row>
    <row r="86" spans="42:48" x14ac:dyDescent="0.25">
      <c r="AP86" s="91">
        <f t="shared" si="18"/>
        <v>0</v>
      </c>
      <c r="AQ86" s="92">
        <f t="shared" si="19"/>
        <v>0</v>
      </c>
      <c r="AR86" s="92">
        <f t="shared" si="20"/>
        <v>0</v>
      </c>
      <c r="AS86" s="92">
        <f t="shared" si="21"/>
        <v>0</v>
      </c>
      <c r="AT86" s="92">
        <f t="shared" si="22"/>
        <v>0</v>
      </c>
      <c r="AU86" s="92">
        <f t="shared" si="23"/>
        <v>0</v>
      </c>
      <c r="AV86" s="93">
        <f t="shared" si="24"/>
        <v>0</v>
      </c>
    </row>
    <row r="87" spans="42:48" x14ac:dyDescent="0.25">
      <c r="AP87" s="91">
        <f t="shared" si="18"/>
        <v>0</v>
      </c>
      <c r="AQ87" s="92">
        <f t="shared" si="19"/>
        <v>0</v>
      </c>
      <c r="AR87" s="92">
        <f t="shared" si="20"/>
        <v>0</v>
      </c>
      <c r="AS87" s="92">
        <f t="shared" si="21"/>
        <v>0</v>
      </c>
      <c r="AT87" s="92">
        <f t="shared" si="22"/>
        <v>0</v>
      </c>
      <c r="AU87" s="92">
        <f t="shared" si="23"/>
        <v>0</v>
      </c>
      <c r="AV87" s="93">
        <f t="shared" si="24"/>
        <v>0</v>
      </c>
    </row>
    <row r="88" spans="42:48" x14ac:dyDescent="0.25">
      <c r="AP88" s="91">
        <f t="shared" si="18"/>
        <v>0</v>
      </c>
      <c r="AQ88" s="92">
        <f t="shared" si="19"/>
        <v>0</v>
      </c>
      <c r="AR88" s="92">
        <f t="shared" si="20"/>
        <v>0</v>
      </c>
      <c r="AS88" s="92">
        <f t="shared" si="21"/>
        <v>0</v>
      </c>
      <c r="AT88" s="92">
        <f t="shared" si="22"/>
        <v>0</v>
      </c>
      <c r="AU88" s="92">
        <f t="shared" si="23"/>
        <v>0</v>
      </c>
      <c r="AV88" s="93">
        <f t="shared" si="24"/>
        <v>0</v>
      </c>
    </row>
    <row r="89" spans="42:48" x14ac:dyDescent="0.25">
      <c r="AP89" s="91">
        <f t="shared" si="18"/>
        <v>0</v>
      </c>
      <c r="AQ89" s="92">
        <f t="shared" si="19"/>
        <v>0</v>
      </c>
      <c r="AR89" s="92">
        <f t="shared" si="20"/>
        <v>0</v>
      </c>
      <c r="AS89" s="92">
        <f t="shared" si="21"/>
        <v>0</v>
      </c>
      <c r="AT89" s="92">
        <f t="shared" si="22"/>
        <v>0</v>
      </c>
      <c r="AU89" s="92">
        <f t="shared" si="23"/>
        <v>0</v>
      </c>
      <c r="AV89" s="93">
        <f t="shared" si="24"/>
        <v>0</v>
      </c>
    </row>
    <row r="90" spans="42:48" x14ac:dyDescent="0.25">
      <c r="AP90" s="91">
        <f t="shared" si="18"/>
        <v>0</v>
      </c>
      <c r="AQ90" s="92">
        <f t="shared" si="19"/>
        <v>0</v>
      </c>
      <c r="AR90" s="92">
        <f t="shared" si="20"/>
        <v>0</v>
      </c>
      <c r="AS90" s="92">
        <f t="shared" si="21"/>
        <v>0</v>
      </c>
      <c r="AT90" s="92">
        <f t="shared" si="22"/>
        <v>0</v>
      </c>
      <c r="AU90" s="92">
        <f t="shared" si="23"/>
        <v>0</v>
      </c>
      <c r="AV90" s="93">
        <f t="shared" si="24"/>
        <v>0</v>
      </c>
    </row>
    <row r="91" spans="42:48" x14ac:dyDescent="0.25">
      <c r="AP91" s="91">
        <f t="shared" si="18"/>
        <v>0</v>
      </c>
      <c r="AQ91" s="92">
        <f t="shared" si="19"/>
        <v>0</v>
      </c>
      <c r="AR91" s="92">
        <f t="shared" si="20"/>
        <v>0</v>
      </c>
      <c r="AS91" s="92">
        <f t="shared" si="21"/>
        <v>0</v>
      </c>
      <c r="AT91" s="92">
        <f t="shared" si="22"/>
        <v>0</v>
      </c>
      <c r="AU91" s="92">
        <f t="shared" si="23"/>
        <v>0</v>
      </c>
      <c r="AV91" s="93">
        <f t="shared" si="24"/>
        <v>0</v>
      </c>
    </row>
    <row r="92" spans="42:48" x14ac:dyDescent="0.25">
      <c r="AP92" s="91">
        <f t="shared" si="18"/>
        <v>0</v>
      </c>
      <c r="AQ92" s="92">
        <f t="shared" si="19"/>
        <v>0</v>
      </c>
      <c r="AR92" s="92">
        <f t="shared" si="20"/>
        <v>0</v>
      </c>
      <c r="AS92" s="92">
        <f t="shared" si="21"/>
        <v>0</v>
      </c>
      <c r="AT92" s="92">
        <f t="shared" si="22"/>
        <v>0</v>
      </c>
      <c r="AU92" s="92">
        <f t="shared" si="23"/>
        <v>0</v>
      </c>
      <c r="AV92" s="93">
        <f t="shared" si="24"/>
        <v>0</v>
      </c>
    </row>
    <row r="93" spans="42:48" ht="15.75" customHeight="1" thickBot="1" x14ac:dyDescent="0.3">
      <c r="AP93" s="94">
        <f t="shared" si="18"/>
        <v>0</v>
      </c>
      <c r="AQ93" s="95">
        <f t="shared" si="19"/>
        <v>0</v>
      </c>
      <c r="AR93" s="95">
        <f t="shared" si="20"/>
        <v>0</v>
      </c>
      <c r="AS93" s="95">
        <f t="shared" si="21"/>
        <v>0</v>
      </c>
      <c r="AT93" s="95">
        <f t="shared" si="22"/>
        <v>0</v>
      </c>
      <c r="AU93" s="95">
        <f t="shared" si="23"/>
        <v>0</v>
      </c>
      <c r="AV93" s="96">
        <f t="shared" si="24"/>
        <v>0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P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zoomScale="80" zoomScaleNormal="80" workbookViewId="0">
      <pane xSplit="2" ySplit="4" topLeftCell="AP5" activePane="bottomRight" state="frozen"/>
      <selection pane="topRight" activeCell="C1" sqref="C1"/>
      <selection pane="bottomLeft" activeCell="A5" sqref="A5"/>
      <selection pane="bottomRight" sqref="A1:H1"/>
    </sheetView>
  </sheetViews>
  <sheetFormatPr defaultColWidth="9.140625" defaultRowHeight="15" outlineLevelRow="1" x14ac:dyDescent="0.25"/>
  <cols>
    <col min="2" max="2" width="24.7109375" customWidth="1"/>
    <col min="4" max="5" width="10.7109375" customWidth="1"/>
    <col min="9" max="9" width="1.7109375" customWidth="1"/>
    <col min="11" max="11" width="10.7109375" customWidth="1"/>
    <col min="12" max="13" width="12.5703125" customWidth="1"/>
    <col min="14" max="14" width="10.7109375" customWidth="1"/>
    <col min="15" max="20" width="12.7109375" customWidth="1"/>
    <col min="21" max="27" width="11.7109375" customWidth="1"/>
    <col min="30" max="30" width="1.7109375" customWidth="1"/>
    <col min="32" max="32" width="10.7109375" customWidth="1"/>
    <col min="33" max="34" width="12.5703125" customWidth="1"/>
    <col min="35" max="35" width="10.7109375" customWidth="1"/>
    <col min="36" max="41" width="12.7109375" customWidth="1"/>
    <col min="42" max="48" width="11.7109375" customWidth="1"/>
    <col min="51" max="51" width="1.7109375" customWidth="1"/>
    <col min="54" max="58" width="11.7109375" customWidth="1"/>
    <col min="59" max="59" width="1.7109375" customWidth="1"/>
    <col min="62" max="66" width="11.7109375" customWidth="1"/>
    <col min="67" max="67" width="1.7109375" customWidth="1"/>
  </cols>
  <sheetData>
    <row r="1" spans="1:72" x14ac:dyDescent="0.25">
      <c r="A1" s="118" t="s">
        <v>369</v>
      </c>
      <c r="B1" s="106"/>
      <c r="C1" s="106"/>
      <c r="D1" s="106"/>
      <c r="E1" s="106"/>
      <c r="F1" s="106"/>
      <c r="G1" s="106"/>
      <c r="H1" s="106"/>
      <c r="J1" s="114" t="str">
        <f>Summary!C1</f>
        <v>anchor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E1" s="115" t="str">
        <f>Summary!C2</f>
        <v>proposal</v>
      </c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</row>
    <row r="2" spans="1:72" ht="33" customHeight="1" thickBot="1" x14ac:dyDescent="0.3">
      <c r="A2" s="117" t="s">
        <v>151</v>
      </c>
      <c r="B2" s="116" t="s">
        <v>152</v>
      </c>
      <c r="C2" s="117" t="s">
        <v>335</v>
      </c>
      <c r="D2" s="116" t="s">
        <v>153</v>
      </c>
      <c r="E2" s="117" t="s">
        <v>154</v>
      </c>
      <c r="F2" s="116" t="s">
        <v>155</v>
      </c>
      <c r="G2" s="117" t="s">
        <v>156</v>
      </c>
      <c r="H2" s="116" t="s">
        <v>336</v>
      </c>
      <c r="J2" s="117" t="s">
        <v>127</v>
      </c>
      <c r="K2" s="116" t="s">
        <v>131</v>
      </c>
      <c r="L2" s="122" t="s">
        <v>120</v>
      </c>
      <c r="M2" s="116" t="s">
        <v>370</v>
      </c>
      <c r="N2" s="117" t="s">
        <v>81</v>
      </c>
      <c r="O2" s="116" t="s">
        <v>120</v>
      </c>
      <c r="P2" s="120" t="s">
        <v>425</v>
      </c>
      <c r="Q2" s="120" t="s">
        <v>426</v>
      </c>
      <c r="R2" s="120" t="s">
        <v>427</v>
      </c>
      <c r="S2" s="120" t="s">
        <v>428</v>
      </c>
      <c r="T2" s="120" t="s">
        <v>429</v>
      </c>
      <c r="U2" s="119" t="s">
        <v>337</v>
      </c>
      <c r="V2" s="106"/>
      <c r="W2" s="106"/>
      <c r="X2" s="106"/>
      <c r="Y2" s="106"/>
      <c r="Z2" s="120" t="s">
        <v>338</v>
      </c>
      <c r="AA2" s="106"/>
      <c r="AB2" s="117" t="s">
        <v>122</v>
      </c>
      <c r="AC2" s="116" t="s">
        <v>102</v>
      </c>
      <c r="AE2" s="117" t="s">
        <v>127</v>
      </c>
      <c r="AF2" s="116" t="s">
        <v>131</v>
      </c>
      <c r="AG2" s="122" t="s">
        <v>120</v>
      </c>
      <c r="AH2" s="116" t="s">
        <v>370</v>
      </c>
      <c r="AI2" s="117" t="s">
        <v>81</v>
      </c>
      <c r="AJ2" s="116" t="s">
        <v>120</v>
      </c>
      <c r="AK2" s="120" t="s">
        <v>425</v>
      </c>
      <c r="AL2" s="120" t="s">
        <v>426</v>
      </c>
      <c r="AM2" s="120" t="s">
        <v>427</v>
      </c>
      <c r="AN2" s="120" t="s">
        <v>428</v>
      </c>
      <c r="AO2" s="120" t="s">
        <v>429</v>
      </c>
      <c r="AP2" s="119" t="s">
        <v>337</v>
      </c>
      <c r="AQ2" s="106"/>
      <c r="AR2" s="106"/>
      <c r="AS2" s="106"/>
      <c r="AT2" s="106"/>
      <c r="AU2" s="120" t="s">
        <v>338</v>
      </c>
      <c r="AV2" s="106"/>
      <c r="AW2" s="117" t="s">
        <v>122</v>
      </c>
      <c r="AX2" s="116" t="s">
        <v>102</v>
      </c>
      <c r="AZ2" s="119" t="s">
        <v>15</v>
      </c>
      <c r="BA2" s="106"/>
      <c r="BB2" s="106"/>
      <c r="BC2" s="106"/>
      <c r="BD2" s="106"/>
      <c r="BE2" s="120" t="s">
        <v>16</v>
      </c>
      <c r="BF2" s="106"/>
      <c r="BH2" s="119" t="s">
        <v>415</v>
      </c>
      <c r="BI2" s="119"/>
      <c r="BJ2" s="121" t="s">
        <v>416</v>
      </c>
      <c r="BK2" s="121"/>
      <c r="BL2" s="121"/>
      <c r="BM2" s="117" t="s">
        <v>417</v>
      </c>
      <c r="BN2" s="116" t="s">
        <v>418</v>
      </c>
      <c r="BP2" s="117" t="s">
        <v>420</v>
      </c>
      <c r="BQ2" s="117" t="s">
        <v>421</v>
      </c>
      <c r="BR2" s="117" t="s">
        <v>423</v>
      </c>
      <c r="BS2" s="117" t="s">
        <v>422</v>
      </c>
      <c r="BT2" s="117" t="s">
        <v>424</v>
      </c>
    </row>
    <row r="3" spans="1:72" ht="33" customHeight="1" thickBot="1" x14ac:dyDescent="0.3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23"/>
      <c r="M3" s="108"/>
      <c r="N3" s="108"/>
      <c r="O3" s="108"/>
      <c r="P3" s="116"/>
      <c r="Q3" s="116"/>
      <c r="R3" s="116"/>
      <c r="S3" s="116"/>
      <c r="T3" s="116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08"/>
      <c r="AC3" s="108"/>
      <c r="AE3" s="108"/>
      <c r="AF3" s="108"/>
      <c r="AG3" s="123"/>
      <c r="AH3" s="108"/>
      <c r="AI3" s="108"/>
      <c r="AJ3" s="108"/>
      <c r="AK3" s="116"/>
      <c r="AL3" s="116"/>
      <c r="AM3" s="116"/>
      <c r="AN3" s="116"/>
      <c r="AO3" s="116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08"/>
      <c r="AX3" s="108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17"/>
      <c r="BN3" s="116"/>
      <c r="BP3" s="108"/>
      <c r="BQ3" s="108"/>
      <c r="BR3" s="108"/>
      <c r="BS3" s="108"/>
      <c r="BT3" s="108"/>
    </row>
    <row r="4" spans="1:72" ht="54" hidden="1" customHeight="1" thickBot="1" x14ac:dyDescent="0.3">
      <c r="A4" s="15" t="s">
        <v>160</v>
      </c>
      <c r="B4" s="16" t="s">
        <v>161</v>
      </c>
      <c r="C4" s="15" t="s">
        <v>339</v>
      </c>
      <c r="D4" s="16" t="s">
        <v>162</v>
      </c>
      <c r="E4" s="15" t="s">
        <v>163</v>
      </c>
      <c r="F4" s="16" t="s">
        <v>164</v>
      </c>
      <c r="G4" s="15" t="s">
        <v>165</v>
      </c>
      <c r="H4" s="16" t="s">
        <v>340</v>
      </c>
      <c r="J4" s="15" t="s">
        <v>166</v>
      </c>
      <c r="K4" s="16" t="s">
        <v>167</v>
      </c>
      <c r="L4" s="16"/>
      <c r="M4" s="16"/>
      <c r="N4" s="15" t="s">
        <v>341</v>
      </c>
      <c r="O4" s="16" t="s">
        <v>168</v>
      </c>
      <c r="P4" s="16"/>
      <c r="Q4" s="16"/>
      <c r="R4" s="16"/>
      <c r="S4" s="16"/>
      <c r="T4" s="16"/>
      <c r="U4" s="15" t="s">
        <v>342</v>
      </c>
      <c r="V4" s="15" t="s">
        <v>343</v>
      </c>
      <c r="W4" s="15" t="s">
        <v>344</v>
      </c>
      <c r="X4" s="15" t="s">
        <v>345</v>
      </c>
      <c r="Y4" s="15" t="s">
        <v>346</v>
      </c>
      <c r="Z4" s="16" t="s">
        <v>347</v>
      </c>
      <c r="AA4" s="16" t="s">
        <v>348</v>
      </c>
      <c r="AB4" s="15" t="s">
        <v>169</v>
      </c>
      <c r="AC4" s="16" t="s">
        <v>170</v>
      </c>
      <c r="AE4" s="15" t="s">
        <v>171</v>
      </c>
      <c r="AF4" s="16" t="s">
        <v>172</v>
      </c>
      <c r="AG4" s="16"/>
      <c r="AH4" s="16"/>
      <c r="AI4" s="15" t="s">
        <v>349</v>
      </c>
      <c r="AJ4" s="16" t="s">
        <v>173</v>
      </c>
      <c r="AK4" s="16"/>
      <c r="AL4" s="16"/>
      <c r="AM4" s="16"/>
      <c r="AN4" s="16"/>
      <c r="AO4" s="16"/>
      <c r="AP4" s="15" t="s">
        <v>350</v>
      </c>
      <c r="AQ4" s="15" t="s">
        <v>351</v>
      </c>
      <c r="AR4" s="15" t="s">
        <v>352</v>
      </c>
      <c r="AS4" s="15" t="s">
        <v>353</v>
      </c>
      <c r="AT4" s="15" t="s">
        <v>354</v>
      </c>
      <c r="AU4" s="16" t="s">
        <v>355</v>
      </c>
      <c r="AV4" s="16" t="s">
        <v>356</v>
      </c>
      <c r="AW4" s="15" t="s">
        <v>174</v>
      </c>
      <c r="AX4" s="16" t="s">
        <v>175</v>
      </c>
      <c r="AZ4" s="15" t="s">
        <v>357</v>
      </c>
      <c r="BA4" s="15" t="s">
        <v>358</v>
      </c>
      <c r="BB4" s="15" t="s">
        <v>359</v>
      </c>
      <c r="BC4" s="15" t="s">
        <v>360</v>
      </c>
      <c r="BD4" s="15" t="s">
        <v>361</v>
      </c>
      <c r="BE4" s="16" t="s">
        <v>362</v>
      </c>
      <c r="BF4" s="16" t="s">
        <v>363</v>
      </c>
      <c r="BH4" s="15" t="s">
        <v>357</v>
      </c>
      <c r="BI4" s="15" t="s">
        <v>358</v>
      </c>
      <c r="BJ4" s="15" t="s">
        <v>359</v>
      </c>
      <c r="BK4" s="15" t="s">
        <v>360</v>
      </c>
      <c r="BL4" s="15" t="s">
        <v>361</v>
      </c>
      <c r="BM4" s="16" t="s">
        <v>362</v>
      </c>
      <c r="BN4" s="16" t="s">
        <v>363</v>
      </c>
    </row>
    <row r="5" spans="1:72" ht="15" customHeight="1" x14ac:dyDescent="0.25">
      <c r="A5" s="17" t="s">
        <v>177</v>
      </c>
      <c r="B5" s="17" t="s">
        <v>38</v>
      </c>
      <c r="C5" s="19" t="s">
        <v>364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 t="str">
        <f t="shared" ref="J5:J44" si="0">IF(OR(ISBLANK(O5),ISBLANK(G5)),"·",O5*G5/F5/1000000)</f>
        <v>·</v>
      </c>
      <c r="K5" s="21" t="str">
        <f t="shared" ref="K5:K44" si="1">IF(ISBLANK(O5),"·",O5/D5)</f>
        <v>·</v>
      </c>
      <c r="L5" s="19" t="str">
        <f>IF(OR(ISBLANK(M5),ISBLANK(S5),ISBLANK(T5)),".",M5+S5+T5)</f>
        <v>.</v>
      </c>
      <c r="M5" s="19" t="str">
        <f t="shared" ref="M5:M44" si="2">IF(OR(ISBLANK(Q5),ISBLANK(P5),ISBLANK(R5)),".",P5+Q5+R5)</f>
        <v>.</v>
      </c>
      <c r="N5" s="44"/>
      <c r="O5" s="22"/>
      <c r="P5" s="22"/>
      <c r="Q5" s="22"/>
      <c r="R5" s="22"/>
      <c r="S5" s="22"/>
      <c r="T5" s="22"/>
      <c r="U5" s="45"/>
      <c r="V5" s="45"/>
      <c r="W5" s="45"/>
      <c r="X5" s="45"/>
      <c r="Y5" s="45"/>
      <c r="Z5" s="45"/>
      <c r="AA5" s="45"/>
      <c r="AB5" s="23"/>
      <c r="AC5" s="23"/>
      <c r="AE5" s="20" t="str">
        <f t="shared" ref="AE5:AE44" si="3">IF(OR(ISBLANK(AJ5),ISBLANK(G5)),"·",AJ5*G5/F5/1000000)</f>
        <v>·</v>
      </c>
      <c r="AF5" s="21" t="str">
        <f t="shared" ref="AF5:AF44" si="4">IF(ISBLANK(AJ5),"·",AJ5/D5)</f>
        <v>·</v>
      </c>
      <c r="AG5" s="19" t="str">
        <f>IF(OR(ISBLANK(AH5),ISBLANK(AN5),ISBLANK(AO5)),".",AH5+AN5+AO5)</f>
        <v>.</v>
      </c>
      <c r="AH5" s="19" t="str">
        <f t="shared" ref="AH5:AH44" si="5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6">IF(AND(AK5=0,AK5=0),0,AK5/P5-1)</f>
        <v>0</v>
      </c>
      <c r="BQ5" s="24">
        <f t="shared" ref="BQ5:BQ44" si="7">IF(AND(AL5=0,AL5=0),0,AL5/Q5-1)</f>
        <v>0</v>
      </c>
      <c r="BR5" s="24">
        <f t="shared" ref="BR5:BR44" si="8">IF(AND(AM5=0,AM5=0),0,AM5/R5-1)</f>
        <v>0</v>
      </c>
      <c r="BS5" s="24">
        <f t="shared" ref="BS5:BT44" si="9">IF(AND(AN5=0,AN5=0),0,AN5/S5-1)</f>
        <v>0</v>
      </c>
      <c r="BT5" s="24">
        <f t="shared" si="9"/>
        <v>0</v>
      </c>
    </row>
    <row r="6" spans="1:72" ht="15" customHeight="1" outlineLevel="1" x14ac:dyDescent="0.25">
      <c r="A6" s="33"/>
      <c r="B6" s="33" t="s">
        <v>38</v>
      </c>
      <c r="C6" s="35" t="s">
        <v>365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 t="str">
        <f t="shared" si="0"/>
        <v>·</v>
      </c>
      <c r="K6" s="37" t="str">
        <f t="shared" si="1"/>
        <v>·</v>
      </c>
      <c r="L6" s="35" t="str">
        <f>IF(OR(ISBLANK(M6),ISBLANK(S6),ISBLANK(T6)),".",M6+S6+T6)</f>
        <v>.</v>
      </c>
      <c r="M6" s="35" t="str">
        <f t="shared" si="2"/>
        <v>.</v>
      </c>
      <c r="N6" s="46"/>
      <c r="O6" s="38"/>
      <c r="P6" s="38"/>
      <c r="Q6" s="38"/>
      <c r="R6" s="38"/>
      <c r="S6" s="38"/>
      <c r="T6" s="38"/>
      <c r="U6" s="47"/>
      <c r="V6" s="47"/>
      <c r="W6" s="47"/>
      <c r="X6" s="47"/>
      <c r="Y6" s="47"/>
      <c r="Z6" s="47"/>
      <c r="AA6" s="47"/>
      <c r="AB6" s="39"/>
      <c r="AC6" s="39"/>
      <c r="AE6" s="36" t="str">
        <f t="shared" si="3"/>
        <v>·</v>
      </c>
      <c r="AF6" s="37" t="str">
        <f t="shared" si="4"/>
        <v>·</v>
      </c>
      <c r="AG6" s="35" t="str">
        <f>IF(OR(ISBLANK(AH6),ISBLANK(AN6),ISBLANK(AO6)),".",AH6+AN6+AO6)</f>
        <v>.</v>
      </c>
      <c r="AH6" s="35" t="str">
        <f t="shared" si="5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6"/>
        <v>0</v>
      </c>
      <c r="BQ6" s="40">
        <f t="shared" si="7"/>
        <v>0</v>
      </c>
      <c r="BR6" s="40">
        <f t="shared" si="8"/>
        <v>0</v>
      </c>
      <c r="BS6" s="40">
        <f t="shared" si="9"/>
        <v>0</v>
      </c>
      <c r="BT6" s="40">
        <f t="shared" si="9"/>
        <v>0</v>
      </c>
    </row>
    <row r="7" spans="1:72" ht="15" customHeight="1" outlineLevel="1" x14ac:dyDescent="0.25">
      <c r="A7" s="17"/>
      <c r="B7" s="17" t="s">
        <v>38</v>
      </c>
      <c r="C7" s="19" t="s">
        <v>366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 t="str">
        <f t="shared" si="0"/>
        <v>·</v>
      </c>
      <c r="K7" s="21" t="str">
        <f t="shared" si="1"/>
        <v>·</v>
      </c>
      <c r="L7" s="19" t="str">
        <f>IF(OR(ISBLANK(M7),ISBLANK(S7),ISBLANK(T7)),".",M7+S7+T7)</f>
        <v>.</v>
      </c>
      <c r="M7" s="19" t="str">
        <f t="shared" si="2"/>
        <v>.</v>
      </c>
      <c r="N7" s="44"/>
      <c r="O7" s="22"/>
      <c r="P7" s="22"/>
      <c r="Q7" s="22"/>
      <c r="R7" s="22"/>
      <c r="S7" s="22"/>
      <c r="T7" s="22"/>
      <c r="U7" s="45"/>
      <c r="V7" s="45"/>
      <c r="W7" s="45"/>
      <c r="X7" s="45"/>
      <c r="Y7" s="45"/>
      <c r="Z7" s="45"/>
      <c r="AA7" s="45"/>
      <c r="AB7" s="23"/>
      <c r="AC7" s="23"/>
      <c r="AE7" s="20" t="str">
        <f t="shared" si="3"/>
        <v>·</v>
      </c>
      <c r="AF7" s="21" t="str">
        <f t="shared" si="4"/>
        <v>·</v>
      </c>
      <c r="AG7" s="19" t="str">
        <f>IF(OR(ISBLANK(AH7),ISBLANK(AN7),ISBLANK(AO7)),".",AH7+AN7+AO7)</f>
        <v>.</v>
      </c>
      <c r="AH7" s="19" t="str">
        <f t="shared" si="5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6"/>
        <v>0</v>
      </c>
      <c r="BQ7" s="24">
        <f t="shared" si="7"/>
        <v>0</v>
      </c>
      <c r="BR7" s="24">
        <f t="shared" si="8"/>
        <v>0</v>
      </c>
      <c r="BS7" s="24">
        <f t="shared" si="9"/>
        <v>0</v>
      </c>
      <c r="BT7" s="24">
        <f t="shared" si="9"/>
        <v>0</v>
      </c>
    </row>
    <row r="8" spans="1:72" ht="15" customHeight="1" outlineLevel="1" x14ac:dyDescent="0.25">
      <c r="A8" s="33"/>
      <c r="B8" s="33" t="s">
        <v>38</v>
      </c>
      <c r="C8" s="35" t="s">
        <v>367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 t="str">
        <f t="shared" si="0"/>
        <v>·</v>
      </c>
      <c r="K8" s="37" t="str">
        <f t="shared" si="1"/>
        <v>·</v>
      </c>
      <c r="L8" s="35" t="str">
        <f>IF(OR(ISBLANK(M8),ISBLANK(S8),ISBLANK(T8)),".",M8+S8+T8)</f>
        <v>.</v>
      </c>
      <c r="M8" s="35" t="str">
        <f t="shared" si="2"/>
        <v>.</v>
      </c>
      <c r="N8" s="46"/>
      <c r="O8" s="38"/>
      <c r="P8" s="38"/>
      <c r="Q8" s="38"/>
      <c r="R8" s="38"/>
      <c r="S8" s="38"/>
      <c r="T8" s="38"/>
      <c r="U8" s="47"/>
      <c r="V8" s="47"/>
      <c r="W8" s="47"/>
      <c r="X8" s="47"/>
      <c r="Y8" s="47"/>
      <c r="Z8" s="47"/>
      <c r="AA8" s="47"/>
      <c r="AB8" s="39"/>
      <c r="AC8" s="39"/>
      <c r="AE8" s="36" t="str">
        <f t="shared" si="3"/>
        <v>·</v>
      </c>
      <c r="AF8" s="37" t="str">
        <f t="shared" si="4"/>
        <v>·</v>
      </c>
      <c r="AG8" s="35" t="str">
        <f>IF(OR(ISBLANK(AH8),ISBLANK(AN8),ISBLANK(AO8)),".",AH8+AN8+AO8)</f>
        <v>.</v>
      </c>
      <c r="AH8" s="35" t="str">
        <f t="shared" si="5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6"/>
        <v>0</v>
      </c>
      <c r="BQ8" s="40">
        <f t="shared" si="7"/>
        <v>0</v>
      </c>
      <c r="BR8" s="40">
        <f t="shared" si="8"/>
        <v>0</v>
      </c>
      <c r="BS8" s="40">
        <f t="shared" si="9"/>
        <v>0</v>
      </c>
      <c r="BT8" s="40">
        <f t="shared" si="9"/>
        <v>0</v>
      </c>
    </row>
    <row r="9" spans="1:72" ht="15.75" customHeight="1" outlineLevel="1" thickBot="1" x14ac:dyDescent="0.3">
      <c r="A9" s="17"/>
      <c r="B9" s="48" t="s">
        <v>38</v>
      </c>
      <c r="C9" s="49" t="s">
        <v>368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 t="str">
        <f t="shared" si="0"/>
        <v>·</v>
      </c>
      <c r="K9" s="52" t="str">
        <f t="shared" si="1"/>
        <v>·</v>
      </c>
      <c r="L9" s="49" t="str">
        <f>IF(OR(ISBLANK(M9),ISBLANK(S9),ISBLANK(T9)),".",M9+S9+T9)</f>
        <v>.</v>
      </c>
      <c r="M9" s="49" t="str">
        <f t="shared" si="2"/>
        <v>.</v>
      </c>
      <c r="N9" s="53"/>
      <c r="O9" s="54"/>
      <c r="P9" s="54"/>
      <c r="Q9" s="54"/>
      <c r="R9" s="54"/>
      <c r="S9" s="54"/>
      <c r="T9" s="54"/>
      <c r="U9" s="55"/>
      <c r="V9" s="55"/>
      <c r="W9" s="55"/>
      <c r="X9" s="55"/>
      <c r="Y9" s="55"/>
      <c r="Z9" s="55"/>
      <c r="AA9" s="55"/>
      <c r="AB9" s="56"/>
      <c r="AC9" s="56"/>
      <c r="AE9" s="51" t="str">
        <f t="shared" si="3"/>
        <v>·</v>
      </c>
      <c r="AF9" s="52" t="str">
        <f t="shared" si="4"/>
        <v>·</v>
      </c>
      <c r="AG9" s="49" t="str">
        <f>IF(OR(ISBLANK(AH9),ISBLANK(AN9),ISBLANK(AO9)),".",AH9+AN9+AO9)</f>
        <v>.</v>
      </c>
      <c r="AH9" s="49" t="str">
        <f t="shared" si="5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6"/>
        <v>0</v>
      </c>
      <c r="BQ9" s="57">
        <f t="shared" si="7"/>
        <v>0</v>
      </c>
      <c r="BR9" s="57">
        <f t="shared" si="8"/>
        <v>0</v>
      </c>
      <c r="BS9" s="57">
        <f t="shared" si="9"/>
        <v>0</v>
      </c>
      <c r="BT9" s="57">
        <f t="shared" si="9"/>
        <v>0</v>
      </c>
    </row>
    <row r="10" spans="1:72" ht="15" customHeight="1" x14ac:dyDescent="0.25">
      <c r="A10" s="33"/>
      <c r="B10" s="33" t="s">
        <v>46</v>
      </c>
      <c r="C10" s="35" t="s">
        <v>364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 t="str">
        <f t="shared" si="0"/>
        <v>·</v>
      </c>
      <c r="K10" s="37" t="str">
        <f t="shared" si="1"/>
        <v>·</v>
      </c>
      <c r="L10" s="35" t="str">
        <f>IF(OR(ISBLANK(M10),ISBLANK(S10),ISBLANK(T10)),".",M10+S10+T10)</f>
        <v>.</v>
      </c>
      <c r="M10" s="35" t="str">
        <f t="shared" si="2"/>
        <v>.</v>
      </c>
      <c r="N10" s="46"/>
      <c r="O10" s="38"/>
      <c r="P10" s="38"/>
      <c r="Q10" s="38"/>
      <c r="R10" s="38"/>
      <c r="S10" s="38"/>
      <c r="T10" s="38"/>
      <c r="U10" s="47"/>
      <c r="V10" s="47"/>
      <c r="W10" s="47"/>
      <c r="X10" s="47"/>
      <c r="Y10" s="47"/>
      <c r="Z10" s="47"/>
      <c r="AA10" s="47"/>
      <c r="AB10" s="39"/>
      <c r="AC10" s="39"/>
      <c r="AE10" s="36" t="str">
        <f t="shared" si="3"/>
        <v>·</v>
      </c>
      <c r="AF10" s="37" t="str">
        <f t="shared" si="4"/>
        <v>·</v>
      </c>
      <c r="AG10" s="35" t="str">
        <f>IF(OR(ISBLANK(AH10),ISBLANK(AN10),ISBLANK(AO10)),".",AH10+AN10+AO10)</f>
        <v>.</v>
      </c>
      <c r="AH10" s="35" t="str">
        <f t="shared" si="5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6"/>
        <v>0</v>
      </c>
      <c r="BQ10" s="40">
        <f t="shared" si="7"/>
        <v>0</v>
      </c>
      <c r="BR10" s="40">
        <f t="shared" si="8"/>
        <v>0</v>
      </c>
      <c r="BS10" s="40">
        <f t="shared" si="9"/>
        <v>0</v>
      </c>
      <c r="BT10" s="40">
        <f t="shared" si="9"/>
        <v>0</v>
      </c>
    </row>
    <row r="11" spans="1:72" ht="15" customHeight="1" outlineLevel="1" x14ac:dyDescent="0.25">
      <c r="A11" s="17"/>
      <c r="B11" s="17" t="s">
        <v>46</v>
      </c>
      <c r="C11" s="19" t="s">
        <v>365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 t="str">
        <f t="shared" si="0"/>
        <v>·</v>
      </c>
      <c r="K11" s="21" t="str">
        <f t="shared" si="1"/>
        <v>·</v>
      </c>
      <c r="L11" s="19" t="str">
        <f>IF(OR(ISBLANK(M11),ISBLANK(S11),ISBLANK(T11)),".",M11+S11+T11)</f>
        <v>.</v>
      </c>
      <c r="M11" s="19" t="str">
        <f t="shared" si="2"/>
        <v>.</v>
      </c>
      <c r="N11" s="44"/>
      <c r="O11" s="22"/>
      <c r="P11" s="22"/>
      <c r="Q11" s="22"/>
      <c r="R11" s="22"/>
      <c r="S11" s="22"/>
      <c r="T11" s="22"/>
      <c r="U11" s="45"/>
      <c r="V11" s="45"/>
      <c r="W11" s="45"/>
      <c r="X11" s="45"/>
      <c r="Y11" s="45"/>
      <c r="Z11" s="45"/>
      <c r="AA11" s="45"/>
      <c r="AB11" s="23"/>
      <c r="AC11" s="23"/>
      <c r="AE11" s="20" t="str">
        <f t="shared" si="3"/>
        <v>·</v>
      </c>
      <c r="AF11" s="21" t="str">
        <f t="shared" si="4"/>
        <v>·</v>
      </c>
      <c r="AG11" s="19" t="str">
        <f>IF(OR(ISBLANK(AH11),ISBLANK(AN11),ISBLANK(AO11)),".",AH11+AN11+AO11)</f>
        <v>.</v>
      </c>
      <c r="AH11" s="19" t="str">
        <f t="shared" si="5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6"/>
        <v>0</v>
      </c>
      <c r="BQ11" s="24">
        <f t="shared" si="7"/>
        <v>0</v>
      </c>
      <c r="BR11" s="24">
        <f t="shared" si="8"/>
        <v>0</v>
      </c>
      <c r="BS11" s="24">
        <f t="shared" si="9"/>
        <v>0</v>
      </c>
      <c r="BT11" s="24">
        <f t="shared" si="9"/>
        <v>0</v>
      </c>
    </row>
    <row r="12" spans="1:72" ht="15" customHeight="1" outlineLevel="1" x14ac:dyDescent="0.25">
      <c r="A12" s="33"/>
      <c r="B12" s="33" t="s">
        <v>46</v>
      </c>
      <c r="C12" s="35" t="s">
        <v>366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 t="str">
        <f t="shared" si="0"/>
        <v>·</v>
      </c>
      <c r="K12" s="37" t="str">
        <f t="shared" si="1"/>
        <v>·</v>
      </c>
      <c r="L12" s="35" t="str">
        <f>IF(OR(ISBLANK(M12),ISBLANK(S12),ISBLANK(T12)),".",M12+S12+T12)</f>
        <v>.</v>
      </c>
      <c r="M12" s="35" t="str">
        <f t="shared" si="2"/>
        <v>.</v>
      </c>
      <c r="N12" s="46"/>
      <c r="O12" s="38"/>
      <c r="P12" s="38"/>
      <c r="Q12" s="38"/>
      <c r="R12" s="38"/>
      <c r="S12" s="38"/>
      <c r="T12" s="38"/>
      <c r="U12" s="47"/>
      <c r="V12" s="47"/>
      <c r="W12" s="47"/>
      <c r="X12" s="47"/>
      <c r="Y12" s="47"/>
      <c r="Z12" s="47"/>
      <c r="AA12" s="47"/>
      <c r="AB12" s="39"/>
      <c r="AC12" s="39"/>
      <c r="AE12" s="36" t="str">
        <f t="shared" si="3"/>
        <v>·</v>
      </c>
      <c r="AF12" s="37" t="str">
        <f t="shared" si="4"/>
        <v>·</v>
      </c>
      <c r="AG12" s="35" t="str">
        <f>IF(OR(ISBLANK(AH12),ISBLANK(AN12),ISBLANK(AO12)),".",AH12+AN12+AO12)</f>
        <v>.</v>
      </c>
      <c r="AH12" s="35" t="str">
        <f t="shared" si="5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6"/>
        <v>0</v>
      </c>
      <c r="BQ12" s="40">
        <f t="shared" si="7"/>
        <v>0</v>
      </c>
      <c r="BR12" s="40">
        <f t="shared" si="8"/>
        <v>0</v>
      </c>
      <c r="BS12" s="40">
        <f t="shared" si="9"/>
        <v>0</v>
      </c>
      <c r="BT12" s="40">
        <f t="shared" si="9"/>
        <v>0</v>
      </c>
    </row>
    <row r="13" spans="1:72" ht="15" customHeight="1" outlineLevel="1" x14ac:dyDescent="0.25">
      <c r="A13" s="17"/>
      <c r="B13" s="17" t="s">
        <v>46</v>
      </c>
      <c r="C13" s="19" t="s">
        <v>367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 t="str">
        <f t="shared" si="0"/>
        <v>·</v>
      </c>
      <c r="K13" s="21" t="str">
        <f t="shared" si="1"/>
        <v>·</v>
      </c>
      <c r="L13" s="19" t="str">
        <f>IF(OR(ISBLANK(M13),ISBLANK(S13),ISBLANK(T13)),".",M13+S13+T13)</f>
        <v>.</v>
      </c>
      <c r="M13" s="19" t="str">
        <f t="shared" si="2"/>
        <v>.</v>
      </c>
      <c r="N13" s="44"/>
      <c r="O13" s="22"/>
      <c r="P13" s="22"/>
      <c r="Q13" s="22"/>
      <c r="R13" s="22"/>
      <c r="S13" s="22"/>
      <c r="T13" s="22"/>
      <c r="U13" s="45"/>
      <c r="V13" s="45"/>
      <c r="W13" s="45"/>
      <c r="X13" s="45"/>
      <c r="Y13" s="45"/>
      <c r="Z13" s="45"/>
      <c r="AA13" s="45"/>
      <c r="AB13" s="23"/>
      <c r="AC13" s="23"/>
      <c r="AE13" s="20" t="str">
        <f t="shared" si="3"/>
        <v>·</v>
      </c>
      <c r="AF13" s="21" t="str">
        <f t="shared" si="4"/>
        <v>·</v>
      </c>
      <c r="AG13" s="19" t="str">
        <f>IF(OR(ISBLANK(AH13),ISBLANK(AN13),ISBLANK(AO13)),".",AH13+AN13+AO13)</f>
        <v>.</v>
      </c>
      <c r="AH13" s="19" t="str">
        <f t="shared" si="5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6"/>
        <v>0</v>
      </c>
      <c r="BQ13" s="24">
        <f t="shared" si="7"/>
        <v>0</v>
      </c>
      <c r="BR13" s="24">
        <f t="shared" si="8"/>
        <v>0</v>
      </c>
      <c r="BS13" s="24">
        <f t="shared" si="9"/>
        <v>0</v>
      </c>
      <c r="BT13" s="24">
        <f t="shared" si="9"/>
        <v>0</v>
      </c>
    </row>
    <row r="14" spans="1:72" ht="15.75" customHeight="1" outlineLevel="1" thickBot="1" x14ac:dyDescent="0.3">
      <c r="A14" s="25"/>
      <c r="B14" s="25" t="s">
        <v>46</v>
      </c>
      <c r="C14" s="27" t="s">
        <v>368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 t="str">
        <f t="shared" si="0"/>
        <v>·</v>
      </c>
      <c r="K14" s="29" t="str">
        <f t="shared" si="1"/>
        <v>·</v>
      </c>
      <c r="L14" s="27" t="str">
        <f>IF(OR(ISBLANK(M14),ISBLANK(S14),ISBLANK(T14)),".",M14+S14+T14)</f>
        <v>.</v>
      </c>
      <c r="M14" s="27" t="str">
        <f t="shared" si="2"/>
        <v>.</v>
      </c>
      <c r="N14" s="58"/>
      <c r="O14" s="30"/>
      <c r="P14" s="30"/>
      <c r="Q14" s="30"/>
      <c r="R14" s="30"/>
      <c r="S14" s="30"/>
      <c r="T14" s="30"/>
      <c r="U14" s="59"/>
      <c r="V14" s="59"/>
      <c r="W14" s="59"/>
      <c r="X14" s="59"/>
      <c r="Y14" s="59"/>
      <c r="Z14" s="59"/>
      <c r="AA14" s="59"/>
      <c r="AB14" s="31"/>
      <c r="AC14" s="31"/>
      <c r="AE14" s="28" t="str">
        <f t="shared" si="3"/>
        <v>·</v>
      </c>
      <c r="AF14" s="29" t="str">
        <f t="shared" si="4"/>
        <v>·</v>
      </c>
      <c r="AG14" s="27" t="str">
        <f>IF(OR(ISBLANK(AH14),ISBLANK(AN14),ISBLANK(AO14)),".",AH14+AN14+AO14)</f>
        <v>.</v>
      </c>
      <c r="AH14" s="27" t="str">
        <f t="shared" si="5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6"/>
        <v>0</v>
      </c>
      <c r="BQ14" s="32">
        <f t="shared" si="7"/>
        <v>0</v>
      </c>
      <c r="BR14" s="32">
        <f t="shared" si="8"/>
        <v>0</v>
      </c>
      <c r="BS14" s="32">
        <f t="shared" si="9"/>
        <v>0</v>
      </c>
      <c r="BT14" s="32">
        <f t="shared" si="9"/>
        <v>0</v>
      </c>
    </row>
    <row r="15" spans="1:72" ht="15" customHeight="1" x14ac:dyDescent="0.25">
      <c r="A15" s="17" t="s">
        <v>178</v>
      </c>
      <c r="B15" s="17" t="s">
        <v>51</v>
      </c>
      <c r="C15" s="19" t="s">
        <v>364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 t="str">
        <f t="shared" si="0"/>
        <v>·</v>
      </c>
      <c r="K15" s="21" t="str">
        <f t="shared" si="1"/>
        <v>·</v>
      </c>
      <c r="L15" s="19" t="str">
        <f>IF(OR(ISBLANK(M15),ISBLANK(S15),ISBLANK(T15)),".",M15+S15+T15)</f>
        <v>.</v>
      </c>
      <c r="M15" s="19" t="str">
        <f t="shared" si="2"/>
        <v>.</v>
      </c>
      <c r="N15" s="44"/>
      <c r="O15" s="22"/>
      <c r="P15" s="22"/>
      <c r="Q15" s="22"/>
      <c r="R15" s="22"/>
      <c r="S15" s="22"/>
      <c r="T15" s="22"/>
      <c r="U15" s="45"/>
      <c r="V15" s="45"/>
      <c r="W15" s="45"/>
      <c r="X15" s="45"/>
      <c r="Y15" s="45"/>
      <c r="Z15" s="45"/>
      <c r="AA15" s="45"/>
      <c r="AB15" s="23"/>
      <c r="AC15" s="23"/>
      <c r="AE15" s="20" t="str">
        <f t="shared" si="3"/>
        <v>·</v>
      </c>
      <c r="AF15" s="21" t="str">
        <f t="shared" si="4"/>
        <v>·</v>
      </c>
      <c r="AG15" s="19" t="str">
        <f>IF(OR(ISBLANK(AH15),ISBLANK(AN15),ISBLANK(AO15)),".",AH15+AN15+AO15)</f>
        <v>.</v>
      </c>
      <c r="AH15" s="19" t="str">
        <f t="shared" si="5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6"/>
        <v>0</v>
      </c>
      <c r="BQ15" s="24">
        <f t="shared" si="7"/>
        <v>0</v>
      </c>
      <c r="BR15" s="24">
        <f t="shared" si="8"/>
        <v>0</v>
      </c>
      <c r="BS15" s="24">
        <f t="shared" si="9"/>
        <v>0</v>
      </c>
      <c r="BT15" s="24">
        <f t="shared" si="9"/>
        <v>0</v>
      </c>
    </row>
    <row r="16" spans="1:72" ht="15" customHeight="1" outlineLevel="1" x14ac:dyDescent="0.25">
      <c r="A16" s="33"/>
      <c r="B16" s="33" t="s">
        <v>51</v>
      </c>
      <c r="C16" s="35" t="s">
        <v>365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 t="str">
        <f t="shared" si="0"/>
        <v>·</v>
      </c>
      <c r="K16" s="37" t="str">
        <f t="shared" si="1"/>
        <v>·</v>
      </c>
      <c r="L16" s="35" t="str">
        <f>IF(OR(ISBLANK(M16),ISBLANK(S16),ISBLANK(T16)),".",M16+S16+T16)</f>
        <v>.</v>
      </c>
      <c r="M16" s="35" t="str">
        <f t="shared" si="2"/>
        <v>.</v>
      </c>
      <c r="N16" s="46"/>
      <c r="O16" s="38"/>
      <c r="P16" s="38"/>
      <c r="Q16" s="38"/>
      <c r="R16" s="38"/>
      <c r="S16" s="38"/>
      <c r="T16" s="38"/>
      <c r="U16" s="47"/>
      <c r="V16" s="47"/>
      <c r="W16" s="47"/>
      <c r="X16" s="47"/>
      <c r="Y16" s="47"/>
      <c r="Z16" s="47"/>
      <c r="AA16" s="47"/>
      <c r="AB16" s="39"/>
      <c r="AC16" s="39"/>
      <c r="AE16" s="36" t="str">
        <f t="shared" si="3"/>
        <v>·</v>
      </c>
      <c r="AF16" s="37" t="str">
        <f t="shared" si="4"/>
        <v>·</v>
      </c>
      <c r="AG16" s="35" t="str">
        <f>IF(OR(ISBLANK(AH16),ISBLANK(AN16),ISBLANK(AO16)),".",AH16+AN16+AO16)</f>
        <v>.</v>
      </c>
      <c r="AH16" s="35" t="str">
        <f t="shared" si="5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6"/>
        <v>0</v>
      </c>
      <c r="BQ16" s="40">
        <f t="shared" si="7"/>
        <v>0</v>
      </c>
      <c r="BR16" s="40">
        <f t="shared" si="8"/>
        <v>0</v>
      </c>
      <c r="BS16" s="40">
        <f t="shared" si="9"/>
        <v>0</v>
      </c>
      <c r="BT16" s="40">
        <f t="shared" si="9"/>
        <v>0</v>
      </c>
    </row>
    <row r="17" spans="1:72" ht="15" customHeight="1" outlineLevel="1" x14ac:dyDescent="0.25">
      <c r="A17" s="17"/>
      <c r="B17" s="17" t="s">
        <v>51</v>
      </c>
      <c r="C17" s="19" t="s">
        <v>366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 t="str">
        <f t="shared" si="0"/>
        <v>·</v>
      </c>
      <c r="K17" s="21" t="str">
        <f t="shared" si="1"/>
        <v>·</v>
      </c>
      <c r="L17" s="19" t="str">
        <f>IF(OR(ISBLANK(M17),ISBLANK(S17),ISBLANK(T17)),".",M17+S17+T17)</f>
        <v>.</v>
      </c>
      <c r="M17" s="19" t="str">
        <f t="shared" si="2"/>
        <v>.</v>
      </c>
      <c r="N17" s="44"/>
      <c r="O17" s="22"/>
      <c r="P17" s="22"/>
      <c r="Q17" s="22"/>
      <c r="R17" s="22"/>
      <c r="S17" s="22"/>
      <c r="T17" s="22"/>
      <c r="U17" s="45"/>
      <c r="V17" s="45"/>
      <c r="W17" s="45"/>
      <c r="X17" s="45"/>
      <c r="Y17" s="45"/>
      <c r="Z17" s="45"/>
      <c r="AA17" s="45"/>
      <c r="AB17" s="23"/>
      <c r="AC17" s="23"/>
      <c r="AE17" s="20" t="str">
        <f t="shared" si="3"/>
        <v>·</v>
      </c>
      <c r="AF17" s="21" t="str">
        <f t="shared" si="4"/>
        <v>·</v>
      </c>
      <c r="AG17" s="19" t="str">
        <f>IF(OR(ISBLANK(AH17),ISBLANK(AN17),ISBLANK(AO17)),".",AH17+AN17+AO17)</f>
        <v>.</v>
      </c>
      <c r="AH17" s="19" t="str">
        <f t="shared" si="5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6"/>
        <v>0</v>
      </c>
      <c r="BQ17" s="24">
        <f t="shared" si="7"/>
        <v>0</v>
      </c>
      <c r="BR17" s="24">
        <f t="shared" si="8"/>
        <v>0</v>
      </c>
      <c r="BS17" s="24">
        <f t="shared" si="9"/>
        <v>0</v>
      </c>
      <c r="BT17" s="24">
        <f t="shared" si="9"/>
        <v>0</v>
      </c>
    </row>
    <row r="18" spans="1:72" ht="15" customHeight="1" outlineLevel="1" x14ac:dyDescent="0.25">
      <c r="A18" s="33"/>
      <c r="B18" s="33" t="s">
        <v>51</v>
      </c>
      <c r="C18" s="35" t="s">
        <v>367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 t="str">
        <f t="shared" si="0"/>
        <v>·</v>
      </c>
      <c r="K18" s="37" t="str">
        <f t="shared" si="1"/>
        <v>·</v>
      </c>
      <c r="L18" s="35" t="str">
        <f>IF(OR(ISBLANK(M18),ISBLANK(S18),ISBLANK(T18)),".",M18+S18+T18)</f>
        <v>.</v>
      </c>
      <c r="M18" s="35" t="str">
        <f t="shared" si="2"/>
        <v>.</v>
      </c>
      <c r="N18" s="46"/>
      <c r="O18" s="38"/>
      <c r="P18" s="38"/>
      <c r="Q18" s="38"/>
      <c r="R18" s="38"/>
      <c r="S18" s="38"/>
      <c r="T18" s="38"/>
      <c r="U18" s="47"/>
      <c r="V18" s="47"/>
      <c r="W18" s="47"/>
      <c r="X18" s="47"/>
      <c r="Y18" s="47"/>
      <c r="Z18" s="47"/>
      <c r="AA18" s="47"/>
      <c r="AB18" s="39"/>
      <c r="AC18" s="39"/>
      <c r="AE18" s="36" t="str">
        <f t="shared" si="3"/>
        <v>·</v>
      </c>
      <c r="AF18" s="37" t="str">
        <f t="shared" si="4"/>
        <v>·</v>
      </c>
      <c r="AG18" s="35" t="str">
        <f>IF(OR(ISBLANK(AH18),ISBLANK(AN18),ISBLANK(AO18)),".",AH18+AN18+AO18)</f>
        <v>.</v>
      </c>
      <c r="AH18" s="35" t="str">
        <f t="shared" si="5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6"/>
        <v>0</v>
      </c>
      <c r="BQ18" s="40">
        <f t="shared" si="7"/>
        <v>0</v>
      </c>
      <c r="BR18" s="40">
        <f t="shared" si="8"/>
        <v>0</v>
      </c>
      <c r="BS18" s="40">
        <f t="shared" si="9"/>
        <v>0</v>
      </c>
      <c r="BT18" s="40">
        <f t="shared" si="9"/>
        <v>0</v>
      </c>
    </row>
    <row r="19" spans="1:72" ht="15.75" customHeight="1" outlineLevel="1" thickBot="1" x14ac:dyDescent="0.3">
      <c r="A19" s="17"/>
      <c r="B19" s="48" t="s">
        <v>51</v>
      </c>
      <c r="C19" s="49" t="s">
        <v>368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 t="str">
        <f t="shared" si="0"/>
        <v>·</v>
      </c>
      <c r="K19" s="52" t="str">
        <f t="shared" si="1"/>
        <v>·</v>
      </c>
      <c r="L19" s="49" t="str">
        <f>IF(OR(ISBLANK(M19),ISBLANK(S19),ISBLANK(T19)),".",M19+S19+T19)</f>
        <v>.</v>
      </c>
      <c r="M19" s="49" t="str">
        <f t="shared" si="2"/>
        <v>.</v>
      </c>
      <c r="N19" s="53"/>
      <c r="O19" s="54"/>
      <c r="P19" s="54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5"/>
      <c r="AB19" s="56"/>
      <c r="AC19" s="56"/>
      <c r="AE19" s="51" t="str">
        <f t="shared" si="3"/>
        <v>·</v>
      </c>
      <c r="AF19" s="52" t="str">
        <f t="shared" si="4"/>
        <v>·</v>
      </c>
      <c r="AG19" s="49" t="str">
        <f>IF(OR(ISBLANK(AH19),ISBLANK(AN19),ISBLANK(AO19)),".",AH19+AN19+AO19)</f>
        <v>.</v>
      </c>
      <c r="AH19" s="49" t="str">
        <f t="shared" si="5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6"/>
        <v>0</v>
      </c>
      <c r="BQ19" s="57">
        <f t="shared" si="7"/>
        <v>0</v>
      </c>
      <c r="BR19" s="57">
        <f t="shared" si="8"/>
        <v>0</v>
      </c>
      <c r="BS19" s="57">
        <f t="shared" si="9"/>
        <v>0</v>
      </c>
      <c r="BT19" s="57">
        <f t="shared" si="9"/>
        <v>0</v>
      </c>
    </row>
    <row r="20" spans="1:72" ht="15" customHeight="1" x14ac:dyDescent="0.25">
      <c r="A20" s="33"/>
      <c r="B20" s="33" t="s">
        <v>56</v>
      </c>
      <c r="C20" s="35" t="s">
        <v>364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 t="str">
        <f t="shared" si="0"/>
        <v>·</v>
      </c>
      <c r="K20" s="37" t="str">
        <f t="shared" si="1"/>
        <v>·</v>
      </c>
      <c r="L20" s="35" t="str">
        <f>IF(OR(ISBLANK(M20),ISBLANK(S20),ISBLANK(T20)),".",M20+S20+T20)</f>
        <v>.</v>
      </c>
      <c r="M20" s="35" t="str">
        <f t="shared" si="2"/>
        <v>.</v>
      </c>
      <c r="N20" s="46"/>
      <c r="O20" s="38"/>
      <c r="P20" s="38"/>
      <c r="Q20" s="38"/>
      <c r="R20" s="38"/>
      <c r="S20" s="38"/>
      <c r="T20" s="38"/>
      <c r="U20" s="47"/>
      <c r="V20" s="47"/>
      <c r="W20" s="47"/>
      <c r="X20" s="47"/>
      <c r="Y20" s="47"/>
      <c r="Z20" s="47"/>
      <c r="AA20" s="47"/>
      <c r="AB20" s="39"/>
      <c r="AC20" s="39"/>
      <c r="AE20" s="36" t="str">
        <f t="shared" si="3"/>
        <v>·</v>
      </c>
      <c r="AF20" s="37" t="str">
        <f t="shared" si="4"/>
        <v>·</v>
      </c>
      <c r="AG20" s="35" t="str">
        <f>IF(OR(ISBLANK(AH20),ISBLANK(AN20),ISBLANK(AO20)),".",AH20+AN20+AO20)</f>
        <v>.</v>
      </c>
      <c r="AH20" s="35" t="str">
        <f t="shared" si="5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6"/>
        <v>0</v>
      </c>
      <c r="BQ20" s="40">
        <f t="shared" si="7"/>
        <v>0</v>
      </c>
      <c r="BR20" s="40">
        <f t="shared" si="8"/>
        <v>0</v>
      </c>
      <c r="BS20" s="40">
        <f t="shared" si="9"/>
        <v>0</v>
      </c>
      <c r="BT20" s="40">
        <f t="shared" si="9"/>
        <v>0</v>
      </c>
    </row>
    <row r="21" spans="1:72" ht="15" customHeight="1" outlineLevel="1" x14ac:dyDescent="0.25">
      <c r="A21" s="17"/>
      <c r="B21" s="17" t="s">
        <v>56</v>
      </c>
      <c r="C21" s="19" t="s">
        <v>365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 t="str">
        <f t="shared" si="0"/>
        <v>·</v>
      </c>
      <c r="K21" s="21" t="str">
        <f t="shared" si="1"/>
        <v>·</v>
      </c>
      <c r="L21" s="19" t="str">
        <f>IF(OR(ISBLANK(M21),ISBLANK(S21),ISBLANK(T21)),".",M21+S21+T21)</f>
        <v>.</v>
      </c>
      <c r="M21" s="19" t="str">
        <f t="shared" si="2"/>
        <v>.</v>
      </c>
      <c r="N21" s="44"/>
      <c r="O21" s="22"/>
      <c r="P21" s="22"/>
      <c r="Q21" s="22"/>
      <c r="R21" s="22"/>
      <c r="S21" s="22"/>
      <c r="T21" s="22"/>
      <c r="U21" s="45"/>
      <c r="V21" s="45"/>
      <c r="W21" s="45"/>
      <c r="X21" s="45"/>
      <c r="Y21" s="45"/>
      <c r="Z21" s="45"/>
      <c r="AA21" s="45"/>
      <c r="AB21" s="23"/>
      <c r="AC21" s="23"/>
      <c r="AE21" s="20" t="str">
        <f t="shared" si="3"/>
        <v>·</v>
      </c>
      <c r="AF21" s="21" t="str">
        <f t="shared" si="4"/>
        <v>·</v>
      </c>
      <c r="AG21" s="19" t="str">
        <f>IF(OR(ISBLANK(AH21),ISBLANK(AN21),ISBLANK(AO21)),".",AH21+AN21+AO21)</f>
        <v>.</v>
      </c>
      <c r="AH21" s="19" t="str">
        <f t="shared" si="5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6"/>
        <v>0</v>
      </c>
      <c r="BQ21" s="24">
        <f t="shared" si="7"/>
        <v>0</v>
      </c>
      <c r="BR21" s="24">
        <f t="shared" si="8"/>
        <v>0</v>
      </c>
      <c r="BS21" s="24">
        <f t="shared" si="9"/>
        <v>0</v>
      </c>
      <c r="BT21" s="24">
        <f t="shared" si="9"/>
        <v>0</v>
      </c>
    </row>
    <row r="22" spans="1:72" ht="15" customHeight="1" outlineLevel="1" x14ac:dyDescent="0.25">
      <c r="A22" s="33"/>
      <c r="B22" s="33" t="s">
        <v>56</v>
      </c>
      <c r="C22" s="35" t="s">
        <v>366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 t="str">
        <f t="shared" si="0"/>
        <v>·</v>
      </c>
      <c r="K22" s="37" t="str">
        <f t="shared" si="1"/>
        <v>·</v>
      </c>
      <c r="L22" s="35" t="str">
        <f>IF(OR(ISBLANK(M22),ISBLANK(S22),ISBLANK(T22)),".",M22+S22+T22)</f>
        <v>.</v>
      </c>
      <c r="M22" s="35" t="str">
        <f t="shared" si="2"/>
        <v>.</v>
      </c>
      <c r="N22" s="46"/>
      <c r="O22" s="38"/>
      <c r="P22" s="38"/>
      <c r="Q22" s="38"/>
      <c r="R22" s="38"/>
      <c r="S22" s="38"/>
      <c r="T22" s="38"/>
      <c r="U22" s="47"/>
      <c r="V22" s="47"/>
      <c r="W22" s="47"/>
      <c r="X22" s="47"/>
      <c r="Y22" s="47"/>
      <c r="Z22" s="47"/>
      <c r="AA22" s="47"/>
      <c r="AB22" s="39"/>
      <c r="AC22" s="39"/>
      <c r="AE22" s="36" t="str">
        <f t="shared" si="3"/>
        <v>·</v>
      </c>
      <c r="AF22" s="37" t="str">
        <f t="shared" si="4"/>
        <v>·</v>
      </c>
      <c r="AG22" s="35" t="str">
        <f>IF(OR(ISBLANK(AH22),ISBLANK(AN22),ISBLANK(AO22)),".",AH22+AN22+AO22)</f>
        <v>.</v>
      </c>
      <c r="AH22" s="35" t="str">
        <f t="shared" si="5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6"/>
        <v>0</v>
      </c>
      <c r="BQ22" s="40">
        <f t="shared" si="7"/>
        <v>0</v>
      </c>
      <c r="BR22" s="40">
        <f t="shared" si="8"/>
        <v>0</v>
      </c>
      <c r="BS22" s="40">
        <f t="shared" si="9"/>
        <v>0</v>
      </c>
      <c r="BT22" s="40">
        <f t="shared" si="9"/>
        <v>0</v>
      </c>
    </row>
    <row r="23" spans="1:72" ht="15" customHeight="1" outlineLevel="1" x14ac:dyDescent="0.25">
      <c r="A23" s="17"/>
      <c r="B23" s="17" t="s">
        <v>56</v>
      </c>
      <c r="C23" s="19" t="s">
        <v>367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 t="str">
        <f t="shared" si="0"/>
        <v>·</v>
      </c>
      <c r="K23" s="21" t="str">
        <f t="shared" si="1"/>
        <v>·</v>
      </c>
      <c r="L23" s="19" t="str">
        <f>IF(OR(ISBLANK(M23),ISBLANK(S23),ISBLANK(T23)),".",M23+S23+T23)</f>
        <v>.</v>
      </c>
      <c r="M23" s="19" t="str">
        <f t="shared" si="2"/>
        <v>.</v>
      </c>
      <c r="N23" s="44"/>
      <c r="O23" s="22"/>
      <c r="P23" s="22"/>
      <c r="Q23" s="22"/>
      <c r="R23" s="22"/>
      <c r="S23" s="22"/>
      <c r="T23" s="22"/>
      <c r="U23" s="45"/>
      <c r="V23" s="45"/>
      <c r="W23" s="45"/>
      <c r="X23" s="45"/>
      <c r="Y23" s="45"/>
      <c r="Z23" s="45"/>
      <c r="AA23" s="45"/>
      <c r="AB23" s="23"/>
      <c r="AC23" s="23"/>
      <c r="AE23" s="20" t="str">
        <f t="shared" si="3"/>
        <v>·</v>
      </c>
      <c r="AF23" s="21" t="str">
        <f t="shared" si="4"/>
        <v>·</v>
      </c>
      <c r="AG23" s="19" t="str">
        <f>IF(OR(ISBLANK(AH23),ISBLANK(AN23),ISBLANK(AO23)),".",AH23+AN23+AO23)</f>
        <v>.</v>
      </c>
      <c r="AH23" s="19" t="str">
        <f t="shared" si="5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6"/>
        <v>0</v>
      </c>
      <c r="BQ23" s="24">
        <f t="shared" si="7"/>
        <v>0</v>
      </c>
      <c r="BR23" s="24">
        <f t="shared" si="8"/>
        <v>0</v>
      </c>
      <c r="BS23" s="24">
        <f t="shared" si="9"/>
        <v>0</v>
      </c>
      <c r="BT23" s="24">
        <f t="shared" si="9"/>
        <v>0</v>
      </c>
    </row>
    <row r="24" spans="1:72" ht="15.75" customHeight="1" outlineLevel="1" thickBot="1" x14ac:dyDescent="0.3">
      <c r="A24" s="25"/>
      <c r="B24" s="25" t="s">
        <v>56</v>
      </c>
      <c r="C24" s="27" t="s">
        <v>368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 t="str">
        <f t="shared" si="0"/>
        <v>·</v>
      </c>
      <c r="K24" s="29" t="str">
        <f t="shared" si="1"/>
        <v>·</v>
      </c>
      <c r="L24" s="27" t="str">
        <f>IF(OR(ISBLANK(M24),ISBLANK(S24),ISBLANK(T24)),".",M24+S24+T24)</f>
        <v>.</v>
      </c>
      <c r="M24" s="27" t="str">
        <f t="shared" si="2"/>
        <v>.</v>
      </c>
      <c r="N24" s="58"/>
      <c r="O24" s="30"/>
      <c r="P24" s="30"/>
      <c r="Q24" s="30"/>
      <c r="R24" s="30"/>
      <c r="S24" s="30"/>
      <c r="T24" s="30"/>
      <c r="U24" s="59"/>
      <c r="V24" s="59"/>
      <c r="W24" s="59"/>
      <c r="X24" s="59"/>
      <c r="Y24" s="59"/>
      <c r="Z24" s="59"/>
      <c r="AA24" s="59"/>
      <c r="AB24" s="31"/>
      <c r="AC24" s="31"/>
      <c r="AE24" s="28" t="str">
        <f t="shared" si="3"/>
        <v>·</v>
      </c>
      <c r="AF24" s="29" t="str">
        <f t="shared" si="4"/>
        <v>·</v>
      </c>
      <c r="AG24" s="27" t="str">
        <f>IF(OR(ISBLANK(AH24),ISBLANK(AN24),ISBLANK(AO24)),".",AH24+AN24+AO24)</f>
        <v>.</v>
      </c>
      <c r="AH24" s="27" t="str">
        <f t="shared" si="5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6"/>
        <v>0</v>
      </c>
      <c r="BQ24" s="32">
        <f t="shared" si="7"/>
        <v>0</v>
      </c>
      <c r="BR24" s="32">
        <f t="shared" si="8"/>
        <v>0</v>
      </c>
      <c r="BS24" s="32">
        <f t="shared" si="9"/>
        <v>0</v>
      </c>
      <c r="BT24" s="32">
        <f t="shared" si="9"/>
        <v>0</v>
      </c>
    </row>
    <row r="25" spans="1:72" ht="15" customHeight="1" x14ac:dyDescent="0.25">
      <c r="A25" s="17" t="s">
        <v>179</v>
      </c>
      <c r="B25" s="17" t="s">
        <v>61</v>
      </c>
      <c r="C25" s="19" t="s">
        <v>364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 t="str">
        <f t="shared" si="0"/>
        <v>·</v>
      </c>
      <c r="K25" s="21" t="str">
        <f t="shared" si="1"/>
        <v>·</v>
      </c>
      <c r="L25" s="19" t="str">
        <f>IF(OR(ISBLANK(M25),ISBLANK(S25),ISBLANK(T25)),".",M25+S25+T25)</f>
        <v>.</v>
      </c>
      <c r="M25" s="19" t="str">
        <f t="shared" si="2"/>
        <v>.</v>
      </c>
      <c r="N25" s="44"/>
      <c r="O25" s="22"/>
      <c r="P25" s="22"/>
      <c r="Q25" s="22"/>
      <c r="R25" s="22"/>
      <c r="S25" s="22"/>
      <c r="T25" s="22"/>
      <c r="U25" s="45"/>
      <c r="V25" s="45"/>
      <c r="W25" s="45"/>
      <c r="X25" s="45"/>
      <c r="Y25" s="45"/>
      <c r="Z25" s="45"/>
      <c r="AA25" s="45"/>
      <c r="AB25" s="23"/>
      <c r="AC25" s="23"/>
      <c r="AE25" s="20" t="str">
        <f t="shared" si="3"/>
        <v>·</v>
      </c>
      <c r="AF25" s="21" t="str">
        <f t="shared" si="4"/>
        <v>·</v>
      </c>
      <c r="AG25" s="19" t="str">
        <f>IF(OR(ISBLANK(AH25),ISBLANK(AN25),ISBLANK(AO25)),".",AH25+AN25+AO25)</f>
        <v>.</v>
      </c>
      <c r="AH25" s="19" t="str">
        <f t="shared" si="5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6"/>
        <v>0</v>
      </c>
      <c r="BQ25" s="24">
        <f t="shared" si="7"/>
        <v>0</v>
      </c>
      <c r="BR25" s="24">
        <f t="shared" si="8"/>
        <v>0</v>
      </c>
      <c r="BS25" s="24">
        <f t="shared" si="9"/>
        <v>0</v>
      </c>
      <c r="BT25" s="24">
        <f t="shared" si="9"/>
        <v>0</v>
      </c>
    </row>
    <row r="26" spans="1:72" ht="15" customHeight="1" outlineLevel="1" x14ac:dyDescent="0.25">
      <c r="A26" s="33"/>
      <c r="B26" s="33" t="s">
        <v>61</v>
      </c>
      <c r="C26" s="35" t="s">
        <v>365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 t="str">
        <f t="shared" si="0"/>
        <v>·</v>
      </c>
      <c r="K26" s="37" t="str">
        <f t="shared" si="1"/>
        <v>·</v>
      </c>
      <c r="L26" s="35" t="str">
        <f>IF(OR(ISBLANK(M26),ISBLANK(S26),ISBLANK(T26)),".",M26+S26+T26)</f>
        <v>.</v>
      </c>
      <c r="M26" s="35" t="str">
        <f t="shared" si="2"/>
        <v>.</v>
      </c>
      <c r="N26" s="46"/>
      <c r="O26" s="38"/>
      <c r="P26" s="38"/>
      <c r="Q26" s="38"/>
      <c r="R26" s="38"/>
      <c r="S26" s="38"/>
      <c r="T26" s="38"/>
      <c r="U26" s="47"/>
      <c r="V26" s="47"/>
      <c r="W26" s="47"/>
      <c r="X26" s="47"/>
      <c r="Y26" s="47"/>
      <c r="Z26" s="47"/>
      <c r="AA26" s="47"/>
      <c r="AB26" s="39"/>
      <c r="AC26" s="39"/>
      <c r="AE26" s="36" t="str">
        <f t="shared" si="3"/>
        <v>·</v>
      </c>
      <c r="AF26" s="37" t="str">
        <f t="shared" si="4"/>
        <v>·</v>
      </c>
      <c r="AG26" s="35" t="str">
        <f>IF(OR(ISBLANK(AH26),ISBLANK(AN26),ISBLANK(AO26)),".",AH26+AN26+AO26)</f>
        <v>.</v>
      </c>
      <c r="AH26" s="35" t="str">
        <f t="shared" si="5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6"/>
        <v>0</v>
      </c>
      <c r="BQ26" s="40">
        <f t="shared" si="7"/>
        <v>0</v>
      </c>
      <c r="BR26" s="40">
        <f t="shared" si="8"/>
        <v>0</v>
      </c>
      <c r="BS26" s="40">
        <f t="shared" si="9"/>
        <v>0</v>
      </c>
      <c r="BT26" s="40">
        <f t="shared" si="9"/>
        <v>0</v>
      </c>
    </row>
    <row r="27" spans="1:72" ht="15" customHeight="1" outlineLevel="1" x14ac:dyDescent="0.25">
      <c r="A27" s="17"/>
      <c r="B27" s="17" t="s">
        <v>61</v>
      </c>
      <c r="C27" s="19" t="s">
        <v>366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 t="str">
        <f t="shared" si="0"/>
        <v>·</v>
      </c>
      <c r="K27" s="21" t="str">
        <f t="shared" si="1"/>
        <v>·</v>
      </c>
      <c r="L27" s="19" t="str">
        <f>IF(OR(ISBLANK(M27),ISBLANK(S27),ISBLANK(T27)),".",M27+S27+T27)</f>
        <v>.</v>
      </c>
      <c r="M27" s="19" t="str">
        <f t="shared" si="2"/>
        <v>.</v>
      </c>
      <c r="N27" s="44"/>
      <c r="O27" s="22"/>
      <c r="P27" s="22"/>
      <c r="Q27" s="22"/>
      <c r="R27" s="22"/>
      <c r="S27" s="22"/>
      <c r="T27" s="22"/>
      <c r="U27" s="45"/>
      <c r="V27" s="45"/>
      <c r="W27" s="45"/>
      <c r="X27" s="45"/>
      <c r="Y27" s="45"/>
      <c r="Z27" s="45"/>
      <c r="AA27" s="45"/>
      <c r="AB27" s="23"/>
      <c r="AC27" s="23"/>
      <c r="AE27" s="20" t="str">
        <f t="shared" si="3"/>
        <v>·</v>
      </c>
      <c r="AF27" s="21" t="str">
        <f t="shared" si="4"/>
        <v>·</v>
      </c>
      <c r="AG27" s="19" t="str">
        <f>IF(OR(ISBLANK(AH27),ISBLANK(AN27),ISBLANK(AO27)),".",AH27+AN27+AO27)</f>
        <v>.</v>
      </c>
      <c r="AH27" s="19" t="str">
        <f t="shared" si="5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6"/>
        <v>0</v>
      </c>
      <c r="BQ27" s="24">
        <f t="shared" si="7"/>
        <v>0</v>
      </c>
      <c r="BR27" s="24">
        <f t="shared" si="8"/>
        <v>0</v>
      </c>
      <c r="BS27" s="24">
        <f t="shared" si="9"/>
        <v>0</v>
      </c>
      <c r="BT27" s="24">
        <f t="shared" si="9"/>
        <v>0</v>
      </c>
    </row>
    <row r="28" spans="1:72" ht="15" customHeight="1" outlineLevel="1" x14ac:dyDescent="0.25">
      <c r="A28" s="33"/>
      <c r="B28" s="33" t="s">
        <v>61</v>
      </c>
      <c r="C28" s="35" t="s">
        <v>367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 t="str">
        <f t="shared" si="0"/>
        <v>·</v>
      </c>
      <c r="K28" s="37" t="str">
        <f t="shared" si="1"/>
        <v>·</v>
      </c>
      <c r="L28" s="35" t="str">
        <f>IF(OR(ISBLANK(M28),ISBLANK(S28),ISBLANK(T28)),".",M28+S28+T28)</f>
        <v>.</v>
      </c>
      <c r="M28" s="35" t="str">
        <f t="shared" si="2"/>
        <v>.</v>
      </c>
      <c r="N28" s="46"/>
      <c r="O28" s="38"/>
      <c r="P28" s="38"/>
      <c r="Q28" s="38"/>
      <c r="R28" s="38"/>
      <c r="S28" s="38"/>
      <c r="T28" s="38"/>
      <c r="U28" s="47"/>
      <c r="V28" s="47"/>
      <c r="W28" s="47"/>
      <c r="X28" s="47"/>
      <c r="Y28" s="47"/>
      <c r="Z28" s="47"/>
      <c r="AA28" s="47"/>
      <c r="AB28" s="39"/>
      <c r="AC28" s="39"/>
      <c r="AE28" s="36" t="str">
        <f t="shared" si="3"/>
        <v>·</v>
      </c>
      <c r="AF28" s="37" t="str">
        <f t="shared" si="4"/>
        <v>·</v>
      </c>
      <c r="AG28" s="35" t="str">
        <f>IF(OR(ISBLANK(AH28),ISBLANK(AN28),ISBLANK(AO28)),".",AH28+AN28+AO28)</f>
        <v>.</v>
      </c>
      <c r="AH28" s="35" t="str">
        <f t="shared" si="5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6"/>
        <v>0</v>
      </c>
      <c r="BQ28" s="40">
        <f t="shared" si="7"/>
        <v>0</v>
      </c>
      <c r="BR28" s="40">
        <f t="shared" si="8"/>
        <v>0</v>
      </c>
      <c r="BS28" s="40">
        <f t="shared" si="9"/>
        <v>0</v>
      </c>
      <c r="BT28" s="40">
        <f t="shared" si="9"/>
        <v>0</v>
      </c>
    </row>
    <row r="29" spans="1:72" ht="15.75" customHeight="1" outlineLevel="1" thickBot="1" x14ac:dyDescent="0.3">
      <c r="A29" s="17"/>
      <c r="B29" s="48" t="s">
        <v>61</v>
      </c>
      <c r="C29" s="49" t="s">
        <v>368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 t="str">
        <f t="shared" si="0"/>
        <v>·</v>
      </c>
      <c r="K29" s="52" t="str">
        <f t="shared" si="1"/>
        <v>·</v>
      </c>
      <c r="L29" s="49" t="str">
        <f>IF(OR(ISBLANK(M29),ISBLANK(S29),ISBLANK(T29)),".",M29+S29+T29)</f>
        <v>.</v>
      </c>
      <c r="M29" s="49" t="str">
        <f t="shared" si="2"/>
        <v>.</v>
      </c>
      <c r="N29" s="53"/>
      <c r="O29" s="54"/>
      <c r="P29" s="54"/>
      <c r="Q29" s="54"/>
      <c r="R29" s="54"/>
      <c r="S29" s="54"/>
      <c r="T29" s="54"/>
      <c r="U29" s="55"/>
      <c r="V29" s="55"/>
      <c r="W29" s="55"/>
      <c r="X29" s="55"/>
      <c r="Y29" s="55"/>
      <c r="Z29" s="55"/>
      <c r="AA29" s="55"/>
      <c r="AB29" s="56"/>
      <c r="AC29" s="56"/>
      <c r="AE29" s="51" t="str">
        <f t="shared" si="3"/>
        <v>·</v>
      </c>
      <c r="AF29" s="52" t="str">
        <f t="shared" si="4"/>
        <v>·</v>
      </c>
      <c r="AG29" s="49" t="str">
        <f>IF(OR(ISBLANK(AH29),ISBLANK(AN29),ISBLANK(AO29)),".",AH29+AN29+AO29)</f>
        <v>.</v>
      </c>
      <c r="AH29" s="49" t="str">
        <f t="shared" si="5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6"/>
        <v>0</v>
      </c>
      <c r="BQ29" s="57">
        <f t="shared" si="7"/>
        <v>0</v>
      </c>
      <c r="BR29" s="57">
        <f t="shared" si="8"/>
        <v>0</v>
      </c>
      <c r="BS29" s="57">
        <f t="shared" si="9"/>
        <v>0</v>
      </c>
      <c r="BT29" s="57">
        <f t="shared" si="9"/>
        <v>0</v>
      </c>
    </row>
    <row r="30" spans="1:72" ht="15" customHeight="1" x14ac:dyDescent="0.25">
      <c r="A30" s="33"/>
      <c r="B30" s="33" t="s">
        <v>66</v>
      </c>
      <c r="C30" s="35" t="s">
        <v>364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 t="str">
        <f t="shared" si="0"/>
        <v>·</v>
      </c>
      <c r="K30" s="37" t="str">
        <f t="shared" si="1"/>
        <v>·</v>
      </c>
      <c r="L30" s="35" t="str">
        <f>IF(OR(ISBLANK(M30),ISBLANK(S30),ISBLANK(T30)),".",M30+S30+T30)</f>
        <v>.</v>
      </c>
      <c r="M30" s="35" t="str">
        <f t="shared" si="2"/>
        <v>.</v>
      </c>
      <c r="N30" s="46"/>
      <c r="O30" s="38"/>
      <c r="P30" s="38"/>
      <c r="Q30" s="38"/>
      <c r="R30" s="38"/>
      <c r="S30" s="38"/>
      <c r="T30" s="38"/>
      <c r="U30" s="47"/>
      <c r="V30" s="47"/>
      <c r="W30" s="47"/>
      <c r="X30" s="47"/>
      <c r="Y30" s="47"/>
      <c r="Z30" s="47"/>
      <c r="AA30" s="47"/>
      <c r="AB30" s="39"/>
      <c r="AC30" s="39"/>
      <c r="AE30" s="36" t="str">
        <f t="shared" si="3"/>
        <v>·</v>
      </c>
      <c r="AF30" s="37" t="str">
        <f t="shared" si="4"/>
        <v>·</v>
      </c>
      <c r="AG30" s="35" t="str">
        <f>IF(OR(ISBLANK(AH30),ISBLANK(AN30),ISBLANK(AO30)),".",AH30+AN30+AO30)</f>
        <v>.</v>
      </c>
      <c r="AH30" s="35" t="str">
        <f t="shared" si="5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6"/>
        <v>0</v>
      </c>
      <c r="BQ30" s="40">
        <f t="shared" si="7"/>
        <v>0</v>
      </c>
      <c r="BR30" s="40">
        <f t="shared" si="8"/>
        <v>0</v>
      </c>
      <c r="BS30" s="40">
        <f t="shared" si="9"/>
        <v>0</v>
      </c>
      <c r="BT30" s="40">
        <f t="shared" si="9"/>
        <v>0</v>
      </c>
    </row>
    <row r="31" spans="1:72" ht="15" customHeight="1" outlineLevel="1" x14ac:dyDescent="0.25">
      <c r="A31" s="17"/>
      <c r="B31" s="17" t="s">
        <v>66</v>
      </c>
      <c r="C31" s="19" t="s">
        <v>365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 t="str">
        <f t="shared" si="0"/>
        <v>·</v>
      </c>
      <c r="K31" s="21" t="str">
        <f t="shared" si="1"/>
        <v>·</v>
      </c>
      <c r="L31" s="19" t="str">
        <f>IF(OR(ISBLANK(M31),ISBLANK(S31),ISBLANK(T31)),".",M31+S31+T31)</f>
        <v>.</v>
      </c>
      <c r="M31" s="19" t="str">
        <f t="shared" si="2"/>
        <v>.</v>
      </c>
      <c r="N31" s="44"/>
      <c r="O31" s="22"/>
      <c r="P31" s="22"/>
      <c r="Q31" s="22"/>
      <c r="R31" s="22"/>
      <c r="S31" s="22"/>
      <c r="T31" s="22"/>
      <c r="U31" s="45"/>
      <c r="V31" s="45"/>
      <c r="W31" s="45"/>
      <c r="X31" s="45"/>
      <c r="Y31" s="45"/>
      <c r="Z31" s="45"/>
      <c r="AA31" s="45"/>
      <c r="AB31" s="23"/>
      <c r="AC31" s="23"/>
      <c r="AE31" s="20" t="str">
        <f t="shared" si="3"/>
        <v>·</v>
      </c>
      <c r="AF31" s="21" t="str">
        <f t="shared" si="4"/>
        <v>·</v>
      </c>
      <c r="AG31" s="19" t="str">
        <f>IF(OR(ISBLANK(AH31),ISBLANK(AN31),ISBLANK(AO31)),".",AH31+AN31+AO31)</f>
        <v>.</v>
      </c>
      <c r="AH31" s="19" t="str">
        <f t="shared" si="5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6"/>
        <v>0</v>
      </c>
      <c r="BQ31" s="24">
        <f t="shared" si="7"/>
        <v>0</v>
      </c>
      <c r="BR31" s="24">
        <f t="shared" si="8"/>
        <v>0</v>
      </c>
      <c r="BS31" s="24">
        <f t="shared" si="9"/>
        <v>0</v>
      </c>
      <c r="BT31" s="24">
        <f t="shared" si="9"/>
        <v>0</v>
      </c>
    </row>
    <row r="32" spans="1:72" ht="15" customHeight="1" outlineLevel="1" x14ac:dyDescent="0.25">
      <c r="A32" s="33"/>
      <c r="B32" s="33" t="s">
        <v>66</v>
      </c>
      <c r="C32" s="35" t="s">
        <v>366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 t="str">
        <f t="shared" si="0"/>
        <v>·</v>
      </c>
      <c r="K32" s="37" t="str">
        <f t="shared" si="1"/>
        <v>·</v>
      </c>
      <c r="L32" s="35" t="str">
        <f>IF(OR(ISBLANK(M32),ISBLANK(S32),ISBLANK(T32)),".",M32+S32+T32)</f>
        <v>.</v>
      </c>
      <c r="M32" s="35" t="str">
        <f t="shared" si="2"/>
        <v>.</v>
      </c>
      <c r="N32" s="46"/>
      <c r="O32" s="38"/>
      <c r="P32" s="38"/>
      <c r="Q32" s="38"/>
      <c r="R32" s="38"/>
      <c r="S32" s="38"/>
      <c r="T32" s="38"/>
      <c r="U32" s="47"/>
      <c r="V32" s="47"/>
      <c r="W32" s="47"/>
      <c r="X32" s="47"/>
      <c r="Y32" s="47"/>
      <c r="Z32" s="47"/>
      <c r="AA32" s="47"/>
      <c r="AB32" s="39"/>
      <c r="AC32" s="39"/>
      <c r="AE32" s="36" t="str">
        <f t="shared" si="3"/>
        <v>·</v>
      </c>
      <c r="AF32" s="37" t="str">
        <f t="shared" si="4"/>
        <v>·</v>
      </c>
      <c r="AG32" s="35" t="str">
        <f>IF(OR(ISBLANK(AH32),ISBLANK(AN32),ISBLANK(AO32)),".",AH32+AN32+AO32)</f>
        <v>.</v>
      </c>
      <c r="AH32" s="35" t="str">
        <f t="shared" si="5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6"/>
        <v>0</v>
      </c>
      <c r="BQ32" s="40">
        <f t="shared" si="7"/>
        <v>0</v>
      </c>
      <c r="BR32" s="40">
        <f t="shared" si="8"/>
        <v>0</v>
      </c>
      <c r="BS32" s="40">
        <f t="shared" si="9"/>
        <v>0</v>
      </c>
      <c r="BT32" s="40">
        <f t="shared" si="9"/>
        <v>0</v>
      </c>
    </row>
    <row r="33" spans="1:72" ht="15" customHeight="1" outlineLevel="1" x14ac:dyDescent="0.25">
      <c r="A33" s="17"/>
      <c r="B33" s="17" t="s">
        <v>66</v>
      </c>
      <c r="C33" s="19" t="s">
        <v>367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 t="str">
        <f t="shared" si="0"/>
        <v>·</v>
      </c>
      <c r="K33" s="21" t="str">
        <f t="shared" si="1"/>
        <v>·</v>
      </c>
      <c r="L33" s="19" t="str">
        <f>IF(OR(ISBLANK(M33),ISBLANK(S33),ISBLANK(T33)),".",M33+S33+T33)</f>
        <v>.</v>
      </c>
      <c r="M33" s="19" t="str">
        <f t="shared" si="2"/>
        <v>.</v>
      </c>
      <c r="N33" s="44"/>
      <c r="O33" s="22"/>
      <c r="P33" s="22"/>
      <c r="Q33" s="22"/>
      <c r="R33" s="22"/>
      <c r="S33" s="22"/>
      <c r="T33" s="22"/>
      <c r="U33" s="45"/>
      <c r="V33" s="45"/>
      <c r="W33" s="45"/>
      <c r="X33" s="45"/>
      <c r="Y33" s="45"/>
      <c r="Z33" s="45"/>
      <c r="AA33" s="45"/>
      <c r="AB33" s="23"/>
      <c r="AC33" s="23"/>
      <c r="AE33" s="20" t="str">
        <f t="shared" si="3"/>
        <v>·</v>
      </c>
      <c r="AF33" s="21" t="str">
        <f t="shared" si="4"/>
        <v>·</v>
      </c>
      <c r="AG33" s="19" t="str">
        <f>IF(OR(ISBLANK(AH33),ISBLANK(AN33),ISBLANK(AO33)),".",AH33+AN33+AO33)</f>
        <v>.</v>
      </c>
      <c r="AH33" s="19" t="str">
        <f t="shared" si="5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6"/>
        <v>0</v>
      </c>
      <c r="BQ33" s="24">
        <f t="shared" si="7"/>
        <v>0</v>
      </c>
      <c r="BR33" s="24">
        <f t="shared" si="8"/>
        <v>0</v>
      </c>
      <c r="BS33" s="24">
        <f t="shared" si="9"/>
        <v>0</v>
      </c>
      <c r="BT33" s="24">
        <f t="shared" si="9"/>
        <v>0</v>
      </c>
    </row>
    <row r="34" spans="1:72" ht="15.75" customHeight="1" outlineLevel="1" thickBot="1" x14ac:dyDescent="0.3">
      <c r="A34" s="33"/>
      <c r="B34" s="25" t="s">
        <v>66</v>
      </c>
      <c r="C34" s="27" t="s">
        <v>368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 t="str">
        <f t="shared" si="0"/>
        <v>·</v>
      </c>
      <c r="K34" s="29" t="str">
        <f t="shared" si="1"/>
        <v>·</v>
      </c>
      <c r="L34" s="27" t="str">
        <f>IF(OR(ISBLANK(M34),ISBLANK(S34),ISBLANK(T34)),".",M34+S34+T34)</f>
        <v>.</v>
      </c>
      <c r="M34" s="27" t="str">
        <f t="shared" si="2"/>
        <v>.</v>
      </c>
      <c r="N34" s="58"/>
      <c r="O34" s="30"/>
      <c r="P34" s="30"/>
      <c r="Q34" s="30"/>
      <c r="R34" s="30"/>
      <c r="S34" s="30"/>
      <c r="T34" s="30"/>
      <c r="U34" s="59"/>
      <c r="V34" s="59"/>
      <c r="W34" s="59"/>
      <c r="X34" s="59"/>
      <c r="Y34" s="59"/>
      <c r="Z34" s="59"/>
      <c r="AA34" s="59"/>
      <c r="AB34" s="31"/>
      <c r="AC34" s="31"/>
      <c r="AE34" s="28" t="str">
        <f t="shared" si="3"/>
        <v>·</v>
      </c>
      <c r="AF34" s="29" t="str">
        <f t="shared" si="4"/>
        <v>·</v>
      </c>
      <c r="AG34" s="27" t="str">
        <f>IF(OR(ISBLANK(AH34),ISBLANK(AN34),ISBLANK(AO34)),".",AH34+AN34+AO34)</f>
        <v>.</v>
      </c>
      <c r="AH34" s="27" t="str">
        <f t="shared" si="5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6"/>
        <v>0</v>
      </c>
      <c r="BQ34" s="32">
        <f t="shared" si="7"/>
        <v>0</v>
      </c>
      <c r="BR34" s="32">
        <f t="shared" si="8"/>
        <v>0</v>
      </c>
      <c r="BS34" s="32">
        <f t="shared" si="9"/>
        <v>0</v>
      </c>
      <c r="BT34" s="32">
        <f t="shared" si="9"/>
        <v>0</v>
      </c>
    </row>
    <row r="35" spans="1:72" ht="15" customHeight="1" x14ac:dyDescent="0.25">
      <c r="A35" s="17"/>
      <c r="B35" s="17" t="s">
        <v>32</v>
      </c>
      <c r="C35" s="19" t="s">
        <v>364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 t="str">
        <f t="shared" si="0"/>
        <v>·</v>
      </c>
      <c r="K35" s="21" t="str">
        <f t="shared" si="1"/>
        <v>·</v>
      </c>
      <c r="L35" s="19" t="str">
        <f>IF(OR(ISBLANK(M35),ISBLANK(S35),ISBLANK(T35)),".",M35+S35+T35)</f>
        <v>.</v>
      </c>
      <c r="M35" s="19" t="str">
        <f t="shared" si="2"/>
        <v>.</v>
      </c>
      <c r="N35" s="44"/>
      <c r="O35" s="22"/>
      <c r="P35" s="22"/>
      <c r="Q35" s="22"/>
      <c r="R35" s="22"/>
      <c r="S35" s="22"/>
      <c r="T35" s="22"/>
      <c r="U35" s="45"/>
      <c r="V35" s="45"/>
      <c r="W35" s="45"/>
      <c r="X35" s="45"/>
      <c r="Y35" s="45"/>
      <c r="Z35" s="45"/>
      <c r="AA35" s="45"/>
      <c r="AB35" s="23"/>
      <c r="AC35" s="23"/>
      <c r="AE35" s="20" t="str">
        <f t="shared" si="3"/>
        <v>·</v>
      </c>
      <c r="AF35" s="21" t="str">
        <f t="shared" si="4"/>
        <v>·</v>
      </c>
      <c r="AG35" s="19" t="str">
        <f>IF(OR(ISBLANK(AH35),ISBLANK(AN35),ISBLANK(AO35)),".",AH35+AN35+AO35)</f>
        <v>.</v>
      </c>
      <c r="AH35" s="19" t="str">
        <f t="shared" si="5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6"/>
        <v>0</v>
      </c>
      <c r="BQ35" s="24">
        <f t="shared" si="7"/>
        <v>0</v>
      </c>
      <c r="BR35" s="24">
        <f t="shared" si="8"/>
        <v>0</v>
      </c>
      <c r="BS35" s="24">
        <f t="shared" si="9"/>
        <v>0</v>
      </c>
      <c r="BT35" s="24">
        <f t="shared" si="9"/>
        <v>0</v>
      </c>
    </row>
    <row r="36" spans="1:72" ht="15" customHeight="1" outlineLevel="1" x14ac:dyDescent="0.25">
      <c r="A36" s="33"/>
      <c r="B36" s="33" t="s">
        <v>32</v>
      </c>
      <c r="C36" s="35" t="s">
        <v>365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 t="str">
        <f t="shared" si="0"/>
        <v>·</v>
      </c>
      <c r="K36" s="37" t="str">
        <f t="shared" si="1"/>
        <v>·</v>
      </c>
      <c r="L36" s="35" t="str">
        <f>IF(OR(ISBLANK(M36),ISBLANK(S36),ISBLANK(T36)),".",M36+S36+T36)</f>
        <v>.</v>
      </c>
      <c r="M36" s="35" t="str">
        <f t="shared" si="2"/>
        <v>.</v>
      </c>
      <c r="N36" s="46"/>
      <c r="O36" s="38"/>
      <c r="P36" s="38"/>
      <c r="Q36" s="38"/>
      <c r="R36" s="38"/>
      <c r="S36" s="38"/>
      <c r="T36" s="38"/>
      <c r="U36" s="47"/>
      <c r="V36" s="47"/>
      <c r="W36" s="47"/>
      <c r="X36" s="47"/>
      <c r="Y36" s="47"/>
      <c r="Z36" s="47"/>
      <c r="AA36" s="47"/>
      <c r="AB36" s="39"/>
      <c r="AC36" s="39"/>
      <c r="AE36" s="36" t="str">
        <f t="shared" si="3"/>
        <v>·</v>
      </c>
      <c r="AF36" s="37" t="str">
        <f t="shared" si="4"/>
        <v>·</v>
      </c>
      <c r="AG36" s="35" t="str">
        <f>IF(OR(ISBLANK(AH36),ISBLANK(AN36),ISBLANK(AO36)),".",AH36+AN36+AO36)</f>
        <v>.</v>
      </c>
      <c r="AH36" s="35" t="str">
        <f t="shared" si="5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6"/>
        <v>0</v>
      </c>
      <c r="BQ36" s="40">
        <f t="shared" si="7"/>
        <v>0</v>
      </c>
      <c r="BR36" s="40">
        <f t="shared" si="8"/>
        <v>0</v>
      </c>
      <c r="BS36" s="40">
        <f t="shared" si="9"/>
        <v>0</v>
      </c>
      <c r="BT36" s="40">
        <f t="shared" si="9"/>
        <v>0</v>
      </c>
    </row>
    <row r="37" spans="1:72" ht="15" customHeight="1" outlineLevel="1" x14ac:dyDescent="0.25">
      <c r="A37" s="17"/>
      <c r="B37" s="17" t="s">
        <v>32</v>
      </c>
      <c r="C37" s="19" t="s">
        <v>366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 t="str">
        <f t="shared" si="0"/>
        <v>·</v>
      </c>
      <c r="K37" s="21" t="str">
        <f t="shared" si="1"/>
        <v>·</v>
      </c>
      <c r="L37" s="19" t="str">
        <f>IF(OR(ISBLANK(M37),ISBLANK(S37),ISBLANK(T37)),".",M37+S37+T37)</f>
        <v>.</v>
      </c>
      <c r="M37" s="19" t="str">
        <f t="shared" si="2"/>
        <v>.</v>
      </c>
      <c r="N37" s="44"/>
      <c r="O37" s="22"/>
      <c r="P37" s="22"/>
      <c r="Q37" s="22"/>
      <c r="R37" s="22"/>
      <c r="S37" s="22"/>
      <c r="T37" s="22"/>
      <c r="U37" s="45"/>
      <c r="V37" s="45"/>
      <c r="W37" s="45"/>
      <c r="X37" s="45"/>
      <c r="Y37" s="45"/>
      <c r="Z37" s="45"/>
      <c r="AA37" s="45"/>
      <c r="AB37" s="23"/>
      <c r="AC37" s="23"/>
      <c r="AE37" s="20" t="str">
        <f t="shared" si="3"/>
        <v>·</v>
      </c>
      <c r="AF37" s="21" t="str">
        <f t="shared" si="4"/>
        <v>·</v>
      </c>
      <c r="AG37" s="19" t="str">
        <f>IF(OR(ISBLANK(AH37),ISBLANK(AN37),ISBLANK(AO37)),".",AH37+AN37+AO37)</f>
        <v>.</v>
      </c>
      <c r="AH37" s="19" t="str">
        <f t="shared" si="5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6"/>
        <v>0</v>
      </c>
      <c r="BQ37" s="24">
        <f t="shared" si="7"/>
        <v>0</v>
      </c>
      <c r="BR37" s="24">
        <f t="shared" si="8"/>
        <v>0</v>
      </c>
      <c r="BS37" s="24">
        <f t="shared" si="9"/>
        <v>0</v>
      </c>
      <c r="BT37" s="24">
        <f t="shared" si="9"/>
        <v>0</v>
      </c>
    </row>
    <row r="38" spans="1:72" ht="15" customHeight="1" outlineLevel="1" x14ac:dyDescent="0.25">
      <c r="A38" s="33"/>
      <c r="B38" s="33" t="s">
        <v>32</v>
      </c>
      <c r="C38" s="35" t="s">
        <v>367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 t="str">
        <f t="shared" si="0"/>
        <v>·</v>
      </c>
      <c r="K38" s="37" t="str">
        <f t="shared" si="1"/>
        <v>·</v>
      </c>
      <c r="L38" s="35" t="str">
        <f>IF(OR(ISBLANK(M38),ISBLANK(S38),ISBLANK(T38)),".",M38+S38+T38)</f>
        <v>.</v>
      </c>
      <c r="M38" s="35" t="str">
        <f t="shared" si="2"/>
        <v>.</v>
      </c>
      <c r="N38" s="46"/>
      <c r="O38" s="38"/>
      <c r="P38" s="38"/>
      <c r="Q38" s="38"/>
      <c r="R38" s="38"/>
      <c r="S38" s="38"/>
      <c r="T38" s="38"/>
      <c r="U38" s="47"/>
      <c r="V38" s="47"/>
      <c r="W38" s="47"/>
      <c r="X38" s="47"/>
      <c r="Y38" s="47"/>
      <c r="Z38" s="47"/>
      <c r="AA38" s="47"/>
      <c r="AB38" s="39"/>
      <c r="AC38" s="39"/>
      <c r="AE38" s="36" t="str">
        <f t="shared" si="3"/>
        <v>·</v>
      </c>
      <c r="AF38" s="37" t="str">
        <f t="shared" si="4"/>
        <v>·</v>
      </c>
      <c r="AG38" s="35" t="str">
        <f>IF(OR(ISBLANK(AH38),ISBLANK(AN38),ISBLANK(AO38)),".",AH38+AN38+AO38)</f>
        <v>.</v>
      </c>
      <c r="AH38" s="35" t="str">
        <f t="shared" si="5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6"/>
        <v>0</v>
      </c>
      <c r="BQ38" s="40">
        <f t="shared" si="7"/>
        <v>0</v>
      </c>
      <c r="BR38" s="40">
        <f t="shared" si="8"/>
        <v>0</v>
      </c>
      <c r="BS38" s="40">
        <f t="shared" si="9"/>
        <v>0</v>
      </c>
      <c r="BT38" s="40">
        <f t="shared" si="9"/>
        <v>0</v>
      </c>
    </row>
    <row r="39" spans="1:72" ht="15.75" customHeight="1" outlineLevel="1" thickBot="1" x14ac:dyDescent="0.3">
      <c r="A39" s="17"/>
      <c r="B39" s="48" t="s">
        <v>32</v>
      </c>
      <c r="C39" s="49" t="s">
        <v>368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 t="str">
        <f t="shared" si="0"/>
        <v>·</v>
      </c>
      <c r="K39" s="52" t="str">
        <f t="shared" si="1"/>
        <v>·</v>
      </c>
      <c r="L39" s="49" t="str">
        <f>IF(OR(ISBLANK(M39),ISBLANK(S39),ISBLANK(T39)),".",M39+S39+T39)</f>
        <v>.</v>
      </c>
      <c r="M39" s="49" t="str">
        <f t="shared" si="2"/>
        <v>.</v>
      </c>
      <c r="N39" s="53"/>
      <c r="O39" s="54"/>
      <c r="P39" s="54"/>
      <c r="Q39" s="54"/>
      <c r="R39" s="54"/>
      <c r="S39" s="54"/>
      <c r="T39" s="54"/>
      <c r="U39" s="55"/>
      <c r="V39" s="55"/>
      <c r="W39" s="55"/>
      <c r="X39" s="55"/>
      <c r="Y39" s="55"/>
      <c r="Z39" s="55"/>
      <c r="AA39" s="55"/>
      <c r="AB39" s="56"/>
      <c r="AC39" s="56"/>
      <c r="AE39" s="51" t="str">
        <f t="shared" si="3"/>
        <v>·</v>
      </c>
      <c r="AF39" s="52" t="str">
        <f t="shared" si="4"/>
        <v>·</v>
      </c>
      <c r="AG39" s="49" t="str">
        <f>IF(OR(ISBLANK(AH39),ISBLANK(AN39),ISBLANK(AO39)),".",AH39+AN39+AO39)</f>
        <v>.</v>
      </c>
      <c r="AH39" s="49" t="str">
        <f t="shared" si="5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6"/>
        <v>0</v>
      </c>
      <c r="BQ39" s="57">
        <f t="shared" si="7"/>
        <v>0</v>
      </c>
      <c r="BR39" s="57">
        <f t="shared" si="8"/>
        <v>0</v>
      </c>
      <c r="BS39" s="57">
        <f t="shared" si="9"/>
        <v>0</v>
      </c>
      <c r="BT39" s="57">
        <f t="shared" si="9"/>
        <v>0</v>
      </c>
    </row>
    <row r="40" spans="1:72" ht="15" customHeight="1" x14ac:dyDescent="0.25">
      <c r="A40" s="33"/>
      <c r="B40" s="33" t="s">
        <v>75</v>
      </c>
      <c r="C40" s="35" t="s">
        <v>364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 t="str">
        <f t="shared" si="0"/>
        <v>·</v>
      </c>
      <c r="K40" s="37" t="str">
        <f t="shared" si="1"/>
        <v>·</v>
      </c>
      <c r="L40" s="35" t="str">
        <f>IF(OR(ISBLANK(M40),ISBLANK(S40),ISBLANK(T40)),".",M40+S40+T40)</f>
        <v>.</v>
      </c>
      <c r="M40" s="35" t="str">
        <f t="shared" si="2"/>
        <v>.</v>
      </c>
      <c r="N40" s="46"/>
      <c r="O40" s="38"/>
      <c r="P40" s="38"/>
      <c r="Q40" s="38"/>
      <c r="R40" s="38"/>
      <c r="S40" s="38"/>
      <c r="T40" s="38"/>
      <c r="U40" s="47"/>
      <c r="V40" s="47"/>
      <c r="W40" s="47"/>
      <c r="X40" s="47"/>
      <c r="Y40" s="47"/>
      <c r="Z40" s="47"/>
      <c r="AA40" s="47"/>
      <c r="AB40" s="39"/>
      <c r="AC40" s="39"/>
      <c r="AE40" s="36" t="str">
        <f t="shared" si="3"/>
        <v>·</v>
      </c>
      <c r="AF40" s="37" t="str">
        <f t="shared" si="4"/>
        <v>·</v>
      </c>
      <c r="AG40" s="35" t="str">
        <f>IF(OR(ISBLANK(AH40),ISBLANK(AN40),ISBLANK(AO40)),".",AH40+AN40+AO40)</f>
        <v>.</v>
      </c>
      <c r="AH40" s="35" t="str">
        <f t="shared" si="5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6"/>
        <v>0</v>
      </c>
      <c r="BQ40" s="40">
        <f t="shared" si="7"/>
        <v>0</v>
      </c>
      <c r="BR40" s="40">
        <f t="shared" si="8"/>
        <v>0</v>
      </c>
      <c r="BS40" s="40">
        <f t="shared" si="9"/>
        <v>0</v>
      </c>
      <c r="BT40" s="40">
        <f t="shared" si="9"/>
        <v>0</v>
      </c>
    </row>
    <row r="41" spans="1:72" ht="15" customHeight="1" outlineLevel="1" x14ac:dyDescent="0.25">
      <c r="A41" s="17"/>
      <c r="B41" s="17" t="s">
        <v>75</v>
      </c>
      <c r="C41" s="19" t="s">
        <v>365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 t="str">
        <f t="shared" si="0"/>
        <v>·</v>
      </c>
      <c r="K41" s="21" t="str">
        <f t="shared" si="1"/>
        <v>·</v>
      </c>
      <c r="L41" s="19" t="str">
        <f>IF(OR(ISBLANK(M41),ISBLANK(S41),ISBLANK(T41)),".",M41+S41+T41)</f>
        <v>.</v>
      </c>
      <c r="M41" s="19" t="str">
        <f t="shared" si="2"/>
        <v>.</v>
      </c>
      <c r="N41" s="44"/>
      <c r="O41" s="22"/>
      <c r="P41" s="22"/>
      <c r="Q41" s="22"/>
      <c r="R41" s="22"/>
      <c r="S41" s="22"/>
      <c r="T41" s="22"/>
      <c r="U41" s="45"/>
      <c r="V41" s="45"/>
      <c r="W41" s="45"/>
      <c r="X41" s="45"/>
      <c r="Y41" s="45"/>
      <c r="Z41" s="45"/>
      <c r="AA41" s="45"/>
      <c r="AB41" s="23"/>
      <c r="AC41" s="23"/>
      <c r="AE41" s="20" t="str">
        <f t="shared" si="3"/>
        <v>·</v>
      </c>
      <c r="AF41" s="21" t="str">
        <f t="shared" si="4"/>
        <v>·</v>
      </c>
      <c r="AG41" s="19" t="str">
        <f>IF(OR(ISBLANK(AH41),ISBLANK(AN41),ISBLANK(AO41)),".",AH41+AN41+AO41)</f>
        <v>.</v>
      </c>
      <c r="AH41" s="19" t="str">
        <f t="shared" si="5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6"/>
        <v>0</v>
      </c>
      <c r="BQ41" s="24">
        <f t="shared" si="7"/>
        <v>0</v>
      </c>
      <c r="BR41" s="24">
        <f t="shared" si="8"/>
        <v>0</v>
      </c>
      <c r="BS41" s="24">
        <f t="shared" si="9"/>
        <v>0</v>
      </c>
      <c r="BT41" s="24">
        <f t="shared" si="9"/>
        <v>0</v>
      </c>
    </row>
    <row r="42" spans="1:72" ht="15" customHeight="1" outlineLevel="1" x14ac:dyDescent="0.25">
      <c r="A42" s="33"/>
      <c r="B42" s="33" t="s">
        <v>75</v>
      </c>
      <c r="C42" s="35" t="s">
        <v>366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 t="str">
        <f t="shared" si="0"/>
        <v>·</v>
      </c>
      <c r="K42" s="37" t="str">
        <f t="shared" si="1"/>
        <v>·</v>
      </c>
      <c r="L42" s="35" t="str">
        <f>IF(OR(ISBLANK(M42),ISBLANK(S42),ISBLANK(T42)),".",M42+S42+T42)</f>
        <v>.</v>
      </c>
      <c r="M42" s="35" t="str">
        <f t="shared" si="2"/>
        <v>.</v>
      </c>
      <c r="N42" s="46"/>
      <c r="O42" s="38"/>
      <c r="P42" s="38"/>
      <c r="Q42" s="38"/>
      <c r="R42" s="38"/>
      <c r="S42" s="38"/>
      <c r="T42" s="38"/>
      <c r="U42" s="47"/>
      <c r="V42" s="47"/>
      <c r="W42" s="47"/>
      <c r="X42" s="47"/>
      <c r="Y42" s="47"/>
      <c r="Z42" s="47"/>
      <c r="AA42" s="47"/>
      <c r="AB42" s="39"/>
      <c r="AC42" s="39"/>
      <c r="AE42" s="36" t="str">
        <f t="shared" si="3"/>
        <v>·</v>
      </c>
      <c r="AF42" s="37" t="str">
        <f t="shared" si="4"/>
        <v>·</v>
      </c>
      <c r="AG42" s="35" t="str">
        <f>IF(OR(ISBLANK(AH42),ISBLANK(AN42),ISBLANK(AO42)),".",AH42+AN42+AO42)</f>
        <v>.</v>
      </c>
      <c r="AH42" s="35" t="str">
        <f t="shared" si="5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6"/>
        <v>0</v>
      </c>
      <c r="BQ42" s="40">
        <f t="shared" si="7"/>
        <v>0</v>
      </c>
      <c r="BR42" s="40">
        <f t="shared" si="8"/>
        <v>0</v>
      </c>
      <c r="BS42" s="40">
        <f t="shared" si="9"/>
        <v>0</v>
      </c>
      <c r="BT42" s="40">
        <f t="shared" si="9"/>
        <v>0</v>
      </c>
    </row>
    <row r="43" spans="1:72" ht="15" customHeight="1" outlineLevel="1" x14ac:dyDescent="0.25">
      <c r="A43" s="17"/>
      <c r="B43" s="17" t="s">
        <v>75</v>
      </c>
      <c r="C43" s="19" t="s">
        <v>367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 t="str">
        <f t="shared" si="0"/>
        <v>·</v>
      </c>
      <c r="K43" s="21" t="str">
        <f t="shared" si="1"/>
        <v>·</v>
      </c>
      <c r="L43" s="19" t="str">
        <f>IF(OR(ISBLANK(M43),ISBLANK(S43),ISBLANK(T43)),".",M43+S43+T43)</f>
        <v>.</v>
      </c>
      <c r="M43" s="19" t="str">
        <f t="shared" si="2"/>
        <v>.</v>
      </c>
      <c r="N43" s="44"/>
      <c r="O43" s="22"/>
      <c r="P43" s="22"/>
      <c r="Q43" s="22"/>
      <c r="R43" s="22"/>
      <c r="S43" s="22"/>
      <c r="T43" s="22"/>
      <c r="U43" s="45"/>
      <c r="V43" s="45"/>
      <c r="W43" s="45"/>
      <c r="X43" s="45"/>
      <c r="Y43" s="45"/>
      <c r="Z43" s="45"/>
      <c r="AA43" s="45"/>
      <c r="AB43" s="23"/>
      <c r="AC43" s="23"/>
      <c r="AE43" s="20" t="str">
        <f t="shared" si="3"/>
        <v>·</v>
      </c>
      <c r="AF43" s="21" t="str">
        <f t="shared" si="4"/>
        <v>·</v>
      </c>
      <c r="AG43" s="19" t="str">
        <f>IF(OR(ISBLANK(AH43),ISBLANK(AN43),ISBLANK(AO43)),".",AH43+AN43+AO43)</f>
        <v>.</v>
      </c>
      <c r="AH43" s="19" t="str">
        <f t="shared" si="5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6"/>
        <v>0</v>
      </c>
      <c r="BQ43" s="24">
        <f t="shared" si="7"/>
        <v>0</v>
      </c>
      <c r="BR43" s="24">
        <f t="shared" si="8"/>
        <v>0</v>
      </c>
      <c r="BS43" s="24">
        <f t="shared" si="9"/>
        <v>0</v>
      </c>
      <c r="BT43" s="24">
        <f t="shared" si="9"/>
        <v>0</v>
      </c>
    </row>
    <row r="44" spans="1:72" ht="15.75" customHeight="1" outlineLevel="1" thickBot="1" x14ac:dyDescent="0.3">
      <c r="A44" s="25"/>
      <c r="B44" s="25" t="s">
        <v>75</v>
      </c>
      <c r="C44" s="27" t="s">
        <v>368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 t="str">
        <f t="shared" si="0"/>
        <v>·</v>
      </c>
      <c r="K44" s="29" t="str">
        <f t="shared" si="1"/>
        <v>·</v>
      </c>
      <c r="L44" s="27" t="str">
        <f>IF(OR(ISBLANK(M44),ISBLANK(S44),ISBLANK(T44)),".",M44+S44+T44)</f>
        <v>.</v>
      </c>
      <c r="M44" s="27" t="str">
        <f t="shared" si="2"/>
        <v>.</v>
      </c>
      <c r="N44" s="58"/>
      <c r="O44" s="30"/>
      <c r="P44" s="30"/>
      <c r="Q44" s="30"/>
      <c r="R44" s="30"/>
      <c r="S44" s="30"/>
      <c r="T44" s="30"/>
      <c r="U44" s="59"/>
      <c r="V44" s="59"/>
      <c r="W44" s="59"/>
      <c r="X44" s="59"/>
      <c r="Y44" s="59"/>
      <c r="Z44" s="59"/>
      <c r="AA44" s="59"/>
      <c r="AB44" s="31"/>
      <c r="AC44" s="31"/>
      <c r="AE44" s="28" t="str">
        <f t="shared" si="3"/>
        <v>·</v>
      </c>
      <c r="AF44" s="29" t="str">
        <f t="shared" si="4"/>
        <v>·</v>
      </c>
      <c r="AG44" s="27" t="str">
        <f>IF(OR(ISBLANK(AH44),ISBLANK(AN44),ISBLANK(AO44)),".",AH44+AN44+AO44)</f>
        <v>.</v>
      </c>
      <c r="AH44" s="27" t="str">
        <f t="shared" si="5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6"/>
        <v>0</v>
      </c>
      <c r="BQ44" s="32">
        <f t="shared" si="7"/>
        <v>0</v>
      </c>
      <c r="BR44" s="32">
        <f t="shared" si="8"/>
        <v>0</v>
      </c>
      <c r="BS44" s="32">
        <f t="shared" si="9"/>
        <v>0</v>
      </c>
      <c r="BT44" s="32">
        <f t="shared" si="9"/>
        <v>0</v>
      </c>
    </row>
    <row r="45" spans="1:72" x14ac:dyDescent="0.25">
      <c r="B45" s="41" t="s">
        <v>7</v>
      </c>
      <c r="K45" s="42" t="e">
        <f>AVERAGE(K5:K14)</f>
        <v>#DIV/0!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0">AVERAGE(AZ5:AZ14)</f>
        <v>#DIV/0!</v>
      </c>
      <c r="BA45" s="5" t="e">
        <f t="shared" si="10"/>
        <v>#DIV/0!</v>
      </c>
      <c r="BB45" s="5" t="e">
        <f t="shared" si="10"/>
        <v>#DIV/0!</v>
      </c>
      <c r="BC45" s="5" t="e">
        <f t="shared" si="10"/>
        <v>#DIV/0!</v>
      </c>
      <c r="BD45" s="5" t="e">
        <f t="shared" si="10"/>
        <v>#DIV/0!</v>
      </c>
      <c r="BE45" s="5" t="e">
        <f t="shared" si="10"/>
        <v>#DIV/0!</v>
      </c>
      <c r="BF45" s="5" t="e">
        <f t="shared" si="10"/>
        <v>#DIV/0!</v>
      </c>
      <c r="BH45" s="5" t="e">
        <f t="shared" ref="BH45:BN45" si="11">AVERAGE(BH5:BH14)</f>
        <v>#DIV/0!</v>
      </c>
      <c r="BI45" s="5" t="e">
        <f t="shared" si="11"/>
        <v>#DIV/0!</v>
      </c>
      <c r="BJ45" s="5" t="e">
        <f t="shared" si="11"/>
        <v>#DIV/0!</v>
      </c>
      <c r="BK45" s="5" t="e">
        <f t="shared" si="11"/>
        <v>#DIV/0!</v>
      </c>
      <c r="BL45" s="5" t="e">
        <f t="shared" si="11"/>
        <v>#DIV/0!</v>
      </c>
      <c r="BM45" s="5" t="e">
        <f t="shared" si="11"/>
        <v>#DIV/0!</v>
      </c>
      <c r="BN45" s="5" t="e">
        <f t="shared" si="11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25">
      <c r="B46" s="41" t="s">
        <v>8</v>
      </c>
      <c r="K46" s="42" t="e">
        <f>AVERAGE(K15:K24)</f>
        <v>#DIV/0!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2">AVERAGE(AZ15:AZ24)</f>
        <v>#DIV/0!</v>
      </c>
      <c r="BA46" s="5" t="e">
        <f t="shared" si="12"/>
        <v>#DIV/0!</v>
      </c>
      <c r="BB46" s="5" t="e">
        <f t="shared" si="12"/>
        <v>#DIV/0!</v>
      </c>
      <c r="BC46" s="5" t="e">
        <f t="shared" si="12"/>
        <v>#DIV/0!</v>
      </c>
      <c r="BD46" s="5" t="e">
        <f t="shared" si="12"/>
        <v>#DIV/0!</v>
      </c>
      <c r="BE46" s="5" t="e">
        <f t="shared" si="12"/>
        <v>#DIV/0!</v>
      </c>
      <c r="BF46" s="5" t="e">
        <f t="shared" si="12"/>
        <v>#DIV/0!</v>
      </c>
      <c r="BH46" s="5" t="e">
        <f t="shared" ref="BH46:BN46" si="13">AVERAGE(BH15:BH24)</f>
        <v>#DIV/0!</v>
      </c>
      <c r="BI46" s="5" t="e">
        <f t="shared" si="13"/>
        <v>#DIV/0!</v>
      </c>
      <c r="BJ46" s="5" t="e">
        <f t="shared" si="13"/>
        <v>#DIV/0!</v>
      </c>
      <c r="BK46" s="5" t="e">
        <f t="shared" si="13"/>
        <v>#DIV/0!</v>
      </c>
      <c r="BL46" s="5" t="e">
        <f t="shared" si="13"/>
        <v>#DIV/0!</v>
      </c>
      <c r="BM46" s="5" t="e">
        <f t="shared" si="13"/>
        <v>#DIV/0!</v>
      </c>
      <c r="BN46" s="5" t="e">
        <f t="shared" si="13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25">
      <c r="B47" s="41" t="s">
        <v>9</v>
      </c>
      <c r="K47" s="42" t="e">
        <f>AVERAGE(K25:K44)</f>
        <v>#DIV/0!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4">AVERAGE(AZ25:AZ44)</f>
        <v>#DIV/0!</v>
      </c>
      <c r="BA47" s="5" t="e">
        <f t="shared" si="14"/>
        <v>#DIV/0!</v>
      </c>
      <c r="BB47" s="5" t="e">
        <f t="shared" si="14"/>
        <v>#DIV/0!</v>
      </c>
      <c r="BC47" s="5" t="e">
        <f t="shared" si="14"/>
        <v>#DIV/0!</v>
      </c>
      <c r="BD47" s="5" t="e">
        <f t="shared" si="14"/>
        <v>#DIV/0!</v>
      </c>
      <c r="BE47" s="5" t="e">
        <f t="shared" si="14"/>
        <v>#DIV/0!</v>
      </c>
      <c r="BF47" s="5" t="e">
        <f t="shared" si="14"/>
        <v>#DIV/0!</v>
      </c>
      <c r="BH47" s="5" t="e">
        <f t="shared" ref="BH47:BN47" si="15">AVERAGE(BH25:BH44)</f>
        <v>#DIV/0!</v>
      </c>
      <c r="BI47" s="5" t="e">
        <f t="shared" si="15"/>
        <v>#DIV/0!</v>
      </c>
      <c r="BJ47" s="5" t="e">
        <f t="shared" si="15"/>
        <v>#DIV/0!</v>
      </c>
      <c r="BK47" s="5" t="e">
        <f t="shared" si="15"/>
        <v>#DIV/0!</v>
      </c>
      <c r="BL47" s="5" t="e">
        <f t="shared" si="15"/>
        <v>#DIV/0!</v>
      </c>
      <c r="BM47" s="5" t="e">
        <f t="shared" si="15"/>
        <v>#DIV/0!</v>
      </c>
      <c r="BN47" s="5" t="e">
        <f t="shared" si="15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25">
      <c r="B48" s="41" t="s">
        <v>10</v>
      </c>
      <c r="K48" s="42" t="e">
        <f>AVERAGE(K5:K44)</f>
        <v>#DIV/0!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6">AVERAGE(AZ5:AZ44)</f>
        <v>#DIV/0!</v>
      </c>
      <c r="BA48" s="5" t="e">
        <f t="shared" si="16"/>
        <v>#DIV/0!</v>
      </c>
      <c r="BB48" s="5" t="e">
        <f t="shared" si="16"/>
        <v>#DIV/0!</v>
      </c>
      <c r="BC48" s="5" t="e">
        <f t="shared" si="16"/>
        <v>#DIV/0!</v>
      </c>
      <c r="BD48" s="5" t="e">
        <f t="shared" si="16"/>
        <v>#DIV/0!</v>
      </c>
      <c r="BE48" s="5" t="e">
        <f t="shared" si="16"/>
        <v>#DIV/0!</v>
      </c>
      <c r="BF48" s="5" t="e">
        <f t="shared" si="16"/>
        <v>#DIV/0!</v>
      </c>
      <c r="BH48" s="5" t="e">
        <f t="shared" ref="BH48:BN48" si="17">AVERAGE(BH5:BH44)</f>
        <v>#DIV/0!</v>
      </c>
      <c r="BI48" s="5" t="e">
        <f t="shared" si="17"/>
        <v>#DIV/0!</v>
      </c>
      <c r="BJ48" s="5" t="e">
        <f t="shared" si="17"/>
        <v>#DIV/0!</v>
      </c>
      <c r="BK48" s="5" t="e">
        <f t="shared" si="17"/>
        <v>#DIV/0!</v>
      </c>
      <c r="BL48" s="5" t="e">
        <f t="shared" si="17"/>
        <v>#DIV/0!</v>
      </c>
      <c r="BM48" s="5" t="e">
        <f t="shared" si="17"/>
        <v>#DIV/0!</v>
      </c>
      <c r="BN48" s="5" t="e">
        <f t="shared" si="17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25">
      <c r="A49" s="41" t="s">
        <v>180</v>
      </c>
      <c r="B49" s="41" t="s">
        <v>181</v>
      </c>
      <c r="AB49" s="43">
        <f>SUM(AB5:AB14,AB15:AB24,AB25:AB44)</f>
        <v>0</v>
      </c>
      <c r="AC49" s="43">
        <f>SUM(AC5:AC14,AC15:AC24,AC25:AC44)</f>
        <v>0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25">
      <c r="B50" s="41" t="s">
        <v>182</v>
      </c>
      <c r="AJ50" s="98"/>
      <c r="AW50" s="8" t="e">
        <f>AW49/AB49</f>
        <v>#DIV/0!</v>
      </c>
      <c r="AX50" s="8" t="e">
        <f>AX49/AC49</f>
        <v>#DIV/0!</v>
      </c>
    </row>
    <row r="51" spans="1:50" x14ac:dyDescent="0.25">
      <c r="AJ51" s="98"/>
    </row>
    <row r="52" spans="1:50" x14ac:dyDescent="0.25">
      <c r="AJ52" s="98"/>
      <c r="AL52" s="103"/>
    </row>
    <row r="53" spans="1:50" ht="15.75" customHeight="1" thickBot="1" x14ac:dyDescent="0.3">
      <c r="AJ53" s="98"/>
    </row>
    <row r="54" spans="1:50" x14ac:dyDescent="0.25">
      <c r="AJ54" s="98"/>
      <c r="AP54" s="88">
        <f t="shared" ref="AP54:AP93" si="18">AP5-U5</f>
        <v>0</v>
      </c>
      <c r="AQ54" s="89">
        <f t="shared" ref="AQ54:AQ93" si="19">AQ5-V5</f>
        <v>0</v>
      </c>
      <c r="AR54" s="89">
        <f t="shared" ref="AR54:AR93" si="20">AR5-W5</f>
        <v>0</v>
      </c>
      <c r="AS54" s="89">
        <f t="shared" ref="AS54:AS93" si="21">AS5-X5</f>
        <v>0</v>
      </c>
      <c r="AT54" s="89">
        <f t="shared" ref="AT54:AT93" si="22">AT5-Y5</f>
        <v>0</v>
      </c>
      <c r="AU54" s="89">
        <f t="shared" ref="AU54:AU93" si="23">AU5-Z5</f>
        <v>0</v>
      </c>
      <c r="AV54" s="90">
        <f t="shared" ref="AV54:AV93" si="24">AV5-AA5</f>
        <v>0</v>
      </c>
    </row>
    <row r="55" spans="1:50" x14ac:dyDescent="0.25">
      <c r="AJ55" s="98"/>
      <c r="AP55" s="91">
        <f t="shared" si="18"/>
        <v>0</v>
      </c>
      <c r="AQ55" s="92">
        <f t="shared" si="19"/>
        <v>0</v>
      </c>
      <c r="AR55" s="92">
        <f t="shared" si="20"/>
        <v>0</v>
      </c>
      <c r="AS55" s="92">
        <f t="shared" si="21"/>
        <v>0</v>
      </c>
      <c r="AT55" s="92">
        <f t="shared" si="22"/>
        <v>0</v>
      </c>
      <c r="AU55" s="92">
        <f t="shared" si="23"/>
        <v>0</v>
      </c>
      <c r="AV55" s="93">
        <f t="shared" si="24"/>
        <v>0</v>
      </c>
    </row>
    <row r="56" spans="1:50" x14ac:dyDescent="0.25">
      <c r="AJ56" s="98"/>
      <c r="AP56" s="91">
        <f t="shared" si="18"/>
        <v>0</v>
      </c>
      <c r="AQ56" s="92">
        <f t="shared" si="19"/>
        <v>0</v>
      </c>
      <c r="AR56" s="92">
        <f t="shared" si="20"/>
        <v>0</v>
      </c>
      <c r="AS56" s="92">
        <f t="shared" si="21"/>
        <v>0</v>
      </c>
      <c r="AT56" s="92">
        <f t="shared" si="22"/>
        <v>0</v>
      </c>
      <c r="AU56" s="92">
        <f t="shared" si="23"/>
        <v>0</v>
      </c>
      <c r="AV56" s="93">
        <f t="shared" si="24"/>
        <v>0</v>
      </c>
    </row>
    <row r="57" spans="1:50" x14ac:dyDescent="0.25">
      <c r="AJ57" s="98"/>
      <c r="AP57" s="91">
        <f t="shared" si="18"/>
        <v>0</v>
      </c>
      <c r="AQ57" s="92">
        <f t="shared" si="19"/>
        <v>0</v>
      </c>
      <c r="AR57" s="92">
        <f t="shared" si="20"/>
        <v>0</v>
      </c>
      <c r="AS57" s="92">
        <f t="shared" si="21"/>
        <v>0</v>
      </c>
      <c r="AT57" s="92">
        <f t="shared" si="22"/>
        <v>0</v>
      </c>
      <c r="AU57" s="92">
        <f t="shared" si="23"/>
        <v>0</v>
      </c>
      <c r="AV57" s="93">
        <f t="shared" si="24"/>
        <v>0</v>
      </c>
    </row>
    <row r="58" spans="1:50" x14ac:dyDescent="0.25">
      <c r="AJ58" s="98"/>
      <c r="AP58" s="91">
        <f t="shared" si="18"/>
        <v>0</v>
      </c>
      <c r="AQ58" s="92">
        <f t="shared" si="19"/>
        <v>0</v>
      </c>
      <c r="AR58" s="92">
        <f t="shared" si="20"/>
        <v>0</v>
      </c>
      <c r="AS58" s="92">
        <f t="shared" si="21"/>
        <v>0</v>
      </c>
      <c r="AT58" s="92">
        <f t="shared" si="22"/>
        <v>0</v>
      </c>
      <c r="AU58" s="92">
        <f t="shared" si="23"/>
        <v>0</v>
      </c>
      <c r="AV58" s="93">
        <f t="shared" si="24"/>
        <v>0</v>
      </c>
    </row>
    <row r="59" spans="1:50" x14ac:dyDescent="0.25">
      <c r="AJ59" s="98"/>
      <c r="AP59" s="91">
        <f t="shared" si="18"/>
        <v>0</v>
      </c>
      <c r="AQ59" s="92">
        <f t="shared" si="19"/>
        <v>0</v>
      </c>
      <c r="AR59" s="92">
        <f t="shared" si="20"/>
        <v>0</v>
      </c>
      <c r="AS59" s="92">
        <f t="shared" si="21"/>
        <v>0</v>
      </c>
      <c r="AT59" s="92">
        <f t="shared" si="22"/>
        <v>0</v>
      </c>
      <c r="AU59" s="92">
        <f t="shared" si="23"/>
        <v>0</v>
      </c>
      <c r="AV59" s="93">
        <f t="shared" si="24"/>
        <v>0</v>
      </c>
    </row>
    <row r="60" spans="1:50" x14ac:dyDescent="0.25">
      <c r="AP60" s="91">
        <f t="shared" si="18"/>
        <v>0</v>
      </c>
      <c r="AQ60" s="92">
        <f t="shared" si="19"/>
        <v>0</v>
      </c>
      <c r="AR60" s="92">
        <f t="shared" si="20"/>
        <v>0</v>
      </c>
      <c r="AS60" s="92">
        <f t="shared" si="21"/>
        <v>0</v>
      </c>
      <c r="AT60" s="92">
        <f t="shared" si="22"/>
        <v>0</v>
      </c>
      <c r="AU60" s="92">
        <f t="shared" si="23"/>
        <v>0</v>
      </c>
      <c r="AV60" s="93">
        <f t="shared" si="24"/>
        <v>0</v>
      </c>
    </row>
    <row r="61" spans="1:50" x14ac:dyDescent="0.25">
      <c r="AP61" s="91">
        <f t="shared" si="18"/>
        <v>0</v>
      </c>
      <c r="AQ61" s="92">
        <f t="shared" si="19"/>
        <v>0</v>
      </c>
      <c r="AR61" s="92">
        <f t="shared" si="20"/>
        <v>0</v>
      </c>
      <c r="AS61" s="92">
        <f t="shared" si="21"/>
        <v>0</v>
      </c>
      <c r="AT61" s="92">
        <f t="shared" si="22"/>
        <v>0</v>
      </c>
      <c r="AU61" s="92">
        <f t="shared" si="23"/>
        <v>0</v>
      </c>
      <c r="AV61" s="93">
        <f t="shared" si="24"/>
        <v>0</v>
      </c>
    </row>
    <row r="62" spans="1:50" x14ac:dyDescent="0.25">
      <c r="AP62" s="91">
        <f t="shared" si="18"/>
        <v>0</v>
      </c>
      <c r="AQ62" s="92">
        <f t="shared" si="19"/>
        <v>0</v>
      </c>
      <c r="AR62" s="92">
        <f t="shared" si="20"/>
        <v>0</v>
      </c>
      <c r="AS62" s="92">
        <f t="shared" si="21"/>
        <v>0</v>
      </c>
      <c r="AT62" s="92">
        <f t="shared" si="22"/>
        <v>0</v>
      </c>
      <c r="AU62" s="92">
        <f t="shared" si="23"/>
        <v>0</v>
      </c>
      <c r="AV62" s="93">
        <f t="shared" si="24"/>
        <v>0</v>
      </c>
    </row>
    <row r="63" spans="1:50" x14ac:dyDescent="0.25">
      <c r="AP63" s="91">
        <f t="shared" si="18"/>
        <v>0</v>
      </c>
      <c r="AQ63" s="92">
        <f t="shared" si="19"/>
        <v>0</v>
      </c>
      <c r="AR63" s="92">
        <f t="shared" si="20"/>
        <v>0</v>
      </c>
      <c r="AS63" s="92">
        <f t="shared" si="21"/>
        <v>0</v>
      </c>
      <c r="AT63" s="92">
        <f t="shared" si="22"/>
        <v>0</v>
      </c>
      <c r="AU63" s="92">
        <f t="shared" si="23"/>
        <v>0</v>
      </c>
      <c r="AV63" s="93">
        <f t="shared" si="24"/>
        <v>0</v>
      </c>
    </row>
    <row r="64" spans="1:50" x14ac:dyDescent="0.25">
      <c r="AP64" s="91">
        <f t="shared" si="18"/>
        <v>0</v>
      </c>
      <c r="AQ64" s="92">
        <f t="shared" si="19"/>
        <v>0</v>
      </c>
      <c r="AR64" s="92">
        <f t="shared" si="20"/>
        <v>0</v>
      </c>
      <c r="AS64" s="92">
        <f t="shared" si="21"/>
        <v>0</v>
      </c>
      <c r="AT64" s="92">
        <f t="shared" si="22"/>
        <v>0</v>
      </c>
      <c r="AU64" s="92">
        <f t="shared" si="23"/>
        <v>0</v>
      </c>
      <c r="AV64" s="93">
        <f t="shared" si="24"/>
        <v>0</v>
      </c>
    </row>
    <row r="65" spans="42:48" x14ac:dyDescent="0.25">
      <c r="AP65" s="91">
        <f t="shared" si="18"/>
        <v>0</v>
      </c>
      <c r="AQ65" s="92">
        <f t="shared" si="19"/>
        <v>0</v>
      </c>
      <c r="AR65" s="92">
        <f t="shared" si="20"/>
        <v>0</v>
      </c>
      <c r="AS65" s="92">
        <f t="shared" si="21"/>
        <v>0</v>
      </c>
      <c r="AT65" s="92">
        <f t="shared" si="22"/>
        <v>0</v>
      </c>
      <c r="AU65" s="92">
        <f t="shared" si="23"/>
        <v>0</v>
      </c>
      <c r="AV65" s="93">
        <f t="shared" si="24"/>
        <v>0</v>
      </c>
    </row>
    <row r="66" spans="42:48" x14ac:dyDescent="0.25">
      <c r="AP66" s="91">
        <f t="shared" si="18"/>
        <v>0</v>
      </c>
      <c r="AQ66" s="92">
        <f t="shared" si="19"/>
        <v>0</v>
      </c>
      <c r="AR66" s="92">
        <f t="shared" si="20"/>
        <v>0</v>
      </c>
      <c r="AS66" s="92">
        <f t="shared" si="21"/>
        <v>0</v>
      </c>
      <c r="AT66" s="92">
        <f t="shared" si="22"/>
        <v>0</v>
      </c>
      <c r="AU66" s="92">
        <f t="shared" si="23"/>
        <v>0</v>
      </c>
      <c r="AV66" s="93">
        <f t="shared" si="24"/>
        <v>0</v>
      </c>
    </row>
    <row r="67" spans="42:48" x14ac:dyDescent="0.25">
      <c r="AP67" s="91">
        <f t="shared" si="18"/>
        <v>0</v>
      </c>
      <c r="AQ67" s="92">
        <f t="shared" si="19"/>
        <v>0</v>
      </c>
      <c r="AR67" s="92">
        <f t="shared" si="20"/>
        <v>0</v>
      </c>
      <c r="AS67" s="92">
        <f t="shared" si="21"/>
        <v>0</v>
      </c>
      <c r="AT67" s="92">
        <f t="shared" si="22"/>
        <v>0</v>
      </c>
      <c r="AU67" s="92">
        <f t="shared" si="23"/>
        <v>0</v>
      </c>
      <c r="AV67" s="93">
        <f t="shared" si="24"/>
        <v>0</v>
      </c>
    </row>
    <row r="68" spans="42:48" x14ac:dyDescent="0.25">
      <c r="AP68" s="91">
        <f t="shared" si="18"/>
        <v>0</v>
      </c>
      <c r="AQ68" s="92">
        <f t="shared" si="19"/>
        <v>0</v>
      </c>
      <c r="AR68" s="92">
        <f t="shared" si="20"/>
        <v>0</v>
      </c>
      <c r="AS68" s="92">
        <f t="shared" si="21"/>
        <v>0</v>
      </c>
      <c r="AT68" s="92">
        <f t="shared" si="22"/>
        <v>0</v>
      </c>
      <c r="AU68" s="92">
        <f t="shared" si="23"/>
        <v>0</v>
      </c>
      <c r="AV68" s="93">
        <f t="shared" si="24"/>
        <v>0</v>
      </c>
    </row>
    <row r="69" spans="42:48" x14ac:dyDescent="0.25">
      <c r="AP69" s="91">
        <f t="shared" si="18"/>
        <v>0</v>
      </c>
      <c r="AQ69" s="92">
        <f t="shared" si="19"/>
        <v>0</v>
      </c>
      <c r="AR69" s="92">
        <f t="shared" si="20"/>
        <v>0</v>
      </c>
      <c r="AS69" s="92">
        <f t="shared" si="21"/>
        <v>0</v>
      </c>
      <c r="AT69" s="92">
        <f t="shared" si="22"/>
        <v>0</v>
      </c>
      <c r="AU69" s="92">
        <f t="shared" si="23"/>
        <v>0</v>
      </c>
      <c r="AV69" s="93">
        <f t="shared" si="24"/>
        <v>0</v>
      </c>
    </row>
    <row r="70" spans="42:48" x14ac:dyDescent="0.25">
      <c r="AP70" s="91">
        <f t="shared" si="18"/>
        <v>0</v>
      </c>
      <c r="AQ70" s="92">
        <f t="shared" si="19"/>
        <v>0</v>
      </c>
      <c r="AR70" s="92">
        <f t="shared" si="20"/>
        <v>0</v>
      </c>
      <c r="AS70" s="92">
        <f t="shared" si="21"/>
        <v>0</v>
      </c>
      <c r="AT70" s="92">
        <f t="shared" si="22"/>
        <v>0</v>
      </c>
      <c r="AU70" s="92">
        <f t="shared" si="23"/>
        <v>0</v>
      </c>
      <c r="AV70" s="93">
        <f t="shared" si="24"/>
        <v>0</v>
      </c>
    </row>
    <row r="71" spans="42:48" x14ac:dyDescent="0.25">
      <c r="AP71" s="91">
        <f t="shared" si="18"/>
        <v>0</v>
      </c>
      <c r="AQ71" s="92">
        <f t="shared" si="19"/>
        <v>0</v>
      </c>
      <c r="AR71" s="92">
        <f t="shared" si="20"/>
        <v>0</v>
      </c>
      <c r="AS71" s="92">
        <f t="shared" si="21"/>
        <v>0</v>
      </c>
      <c r="AT71" s="92">
        <f t="shared" si="22"/>
        <v>0</v>
      </c>
      <c r="AU71" s="92">
        <f t="shared" si="23"/>
        <v>0</v>
      </c>
      <c r="AV71" s="93">
        <f t="shared" si="24"/>
        <v>0</v>
      </c>
    </row>
    <row r="72" spans="42:48" x14ac:dyDescent="0.25">
      <c r="AP72" s="91">
        <f t="shared" si="18"/>
        <v>0</v>
      </c>
      <c r="AQ72" s="92">
        <f t="shared" si="19"/>
        <v>0</v>
      </c>
      <c r="AR72" s="92">
        <f t="shared" si="20"/>
        <v>0</v>
      </c>
      <c r="AS72" s="92">
        <f t="shared" si="21"/>
        <v>0</v>
      </c>
      <c r="AT72" s="92">
        <f t="shared" si="22"/>
        <v>0</v>
      </c>
      <c r="AU72" s="92">
        <f t="shared" si="23"/>
        <v>0</v>
      </c>
      <c r="AV72" s="93">
        <f t="shared" si="24"/>
        <v>0</v>
      </c>
    </row>
    <row r="73" spans="42:48" x14ac:dyDescent="0.25">
      <c r="AP73" s="91">
        <f t="shared" si="18"/>
        <v>0</v>
      </c>
      <c r="AQ73" s="92">
        <f t="shared" si="19"/>
        <v>0</v>
      </c>
      <c r="AR73" s="92">
        <f t="shared" si="20"/>
        <v>0</v>
      </c>
      <c r="AS73" s="92">
        <f t="shared" si="21"/>
        <v>0</v>
      </c>
      <c r="AT73" s="92">
        <f t="shared" si="22"/>
        <v>0</v>
      </c>
      <c r="AU73" s="92">
        <f t="shared" si="23"/>
        <v>0</v>
      </c>
      <c r="AV73" s="93">
        <f t="shared" si="24"/>
        <v>0</v>
      </c>
    </row>
    <row r="74" spans="42:48" x14ac:dyDescent="0.25">
      <c r="AP74" s="91">
        <f t="shared" si="18"/>
        <v>0</v>
      </c>
      <c r="AQ74" s="92">
        <f t="shared" si="19"/>
        <v>0</v>
      </c>
      <c r="AR74" s="92">
        <f t="shared" si="20"/>
        <v>0</v>
      </c>
      <c r="AS74" s="92">
        <f t="shared" si="21"/>
        <v>0</v>
      </c>
      <c r="AT74" s="92">
        <f t="shared" si="22"/>
        <v>0</v>
      </c>
      <c r="AU74" s="92">
        <f t="shared" si="23"/>
        <v>0</v>
      </c>
      <c r="AV74" s="93">
        <f t="shared" si="24"/>
        <v>0</v>
      </c>
    </row>
    <row r="75" spans="42:48" x14ac:dyDescent="0.25">
      <c r="AP75" s="91">
        <f t="shared" si="18"/>
        <v>0</v>
      </c>
      <c r="AQ75" s="92">
        <f t="shared" si="19"/>
        <v>0</v>
      </c>
      <c r="AR75" s="92">
        <f t="shared" si="20"/>
        <v>0</v>
      </c>
      <c r="AS75" s="92">
        <f t="shared" si="21"/>
        <v>0</v>
      </c>
      <c r="AT75" s="92">
        <f t="shared" si="22"/>
        <v>0</v>
      </c>
      <c r="AU75" s="92">
        <f t="shared" si="23"/>
        <v>0</v>
      </c>
      <c r="AV75" s="93">
        <f t="shared" si="24"/>
        <v>0</v>
      </c>
    </row>
    <row r="76" spans="42:48" x14ac:dyDescent="0.25">
      <c r="AP76" s="91">
        <f t="shared" si="18"/>
        <v>0</v>
      </c>
      <c r="AQ76" s="92">
        <f t="shared" si="19"/>
        <v>0</v>
      </c>
      <c r="AR76" s="92">
        <f t="shared" si="20"/>
        <v>0</v>
      </c>
      <c r="AS76" s="92">
        <f t="shared" si="21"/>
        <v>0</v>
      </c>
      <c r="AT76" s="92">
        <f t="shared" si="22"/>
        <v>0</v>
      </c>
      <c r="AU76" s="92">
        <f t="shared" si="23"/>
        <v>0</v>
      </c>
      <c r="AV76" s="93">
        <f t="shared" si="24"/>
        <v>0</v>
      </c>
    </row>
    <row r="77" spans="42:48" x14ac:dyDescent="0.25">
      <c r="AP77" s="91">
        <f t="shared" si="18"/>
        <v>0</v>
      </c>
      <c r="AQ77" s="92">
        <f t="shared" si="19"/>
        <v>0</v>
      </c>
      <c r="AR77" s="92">
        <f t="shared" si="20"/>
        <v>0</v>
      </c>
      <c r="AS77" s="92">
        <f t="shared" si="21"/>
        <v>0</v>
      </c>
      <c r="AT77" s="92">
        <f t="shared" si="22"/>
        <v>0</v>
      </c>
      <c r="AU77" s="92">
        <f t="shared" si="23"/>
        <v>0</v>
      </c>
      <c r="AV77" s="93">
        <f t="shared" si="24"/>
        <v>0</v>
      </c>
    </row>
    <row r="78" spans="42:48" x14ac:dyDescent="0.25">
      <c r="AP78" s="91">
        <f t="shared" si="18"/>
        <v>0</v>
      </c>
      <c r="AQ78" s="92">
        <f t="shared" si="19"/>
        <v>0</v>
      </c>
      <c r="AR78" s="92">
        <f t="shared" si="20"/>
        <v>0</v>
      </c>
      <c r="AS78" s="92">
        <f t="shared" si="21"/>
        <v>0</v>
      </c>
      <c r="AT78" s="92">
        <f t="shared" si="22"/>
        <v>0</v>
      </c>
      <c r="AU78" s="92">
        <f t="shared" si="23"/>
        <v>0</v>
      </c>
      <c r="AV78" s="93">
        <f t="shared" si="24"/>
        <v>0</v>
      </c>
    </row>
    <row r="79" spans="42:48" x14ac:dyDescent="0.25">
      <c r="AP79" s="91">
        <f t="shared" si="18"/>
        <v>0</v>
      </c>
      <c r="AQ79" s="92">
        <f t="shared" si="19"/>
        <v>0</v>
      </c>
      <c r="AR79" s="92">
        <f t="shared" si="20"/>
        <v>0</v>
      </c>
      <c r="AS79" s="92">
        <f t="shared" si="21"/>
        <v>0</v>
      </c>
      <c r="AT79" s="92">
        <f t="shared" si="22"/>
        <v>0</v>
      </c>
      <c r="AU79" s="92">
        <f t="shared" si="23"/>
        <v>0</v>
      </c>
      <c r="AV79" s="93">
        <f t="shared" si="24"/>
        <v>0</v>
      </c>
    </row>
    <row r="80" spans="42:48" x14ac:dyDescent="0.25">
      <c r="AP80" s="91">
        <f t="shared" si="18"/>
        <v>0</v>
      </c>
      <c r="AQ80" s="92">
        <f t="shared" si="19"/>
        <v>0</v>
      </c>
      <c r="AR80" s="92">
        <f t="shared" si="20"/>
        <v>0</v>
      </c>
      <c r="AS80" s="92">
        <f t="shared" si="21"/>
        <v>0</v>
      </c>
      <c r="AT80" s="92">
        <f t="shared" si="22"/>
        <v>0</v>
      </c>
      <c r="AU80" s="92">
        <f t="shared" si="23"/>
        <v>0</v>
      </c>
      <c r="AV80" s="93">
        <f t="shared" si="24"/>
        <v>0</v>
      </c>
    </row>
    <row r="81" spans="42:48" x14ac:dyDescent="0.25">
      <c r="AP81" s="91">
        <f t="shared" si="18"/>
        <v>0</v>
      </c>
      <c r="AQ81" s="92">
        <f t="shared" si="19"/>
        <v>0</v>
      </c>
      <c r="AR81" s="92">
        <f t="shared" si="20"/>
        <v>0</v>
      </c>
      <c r="AS81" s="92">
        <f t="shared" si="21"/>
        <v>0</v>
      </c>
      <c r="AT81" s="92">
        <f t="shared" si="22"/>
        <v>0</v>
      </c>
      <c r="AU81" s="92">
        <f t="shared" si="23"/>
        <v>0</v>
      </c>
      <c r="AV81" s="93">
        <f t="shared" si="24"/>
        <v>0</v>
      </c>
    </row>
    <row r="82" spans="42:48" x14ac:dyDescent="0.25">
      <c r="AP82" s="91">
        <f t="shared" si="18"/>
        <v>0</v>
      </c>
      <c r="AQ82" s="92">
        <f t="shared" si="19"/>
        <v>0</v>
      </c>
      <c r="AR82" s="92">
        <f t="shared" si="20"/>
        <v>0</v>
      </c>
      <c r="AS82" s="92">
        <f t="shared" si="21"/>
        <v>0</v>
      </c>
      <c r="AT82" s="92">
        <f t="shared" si="22"/>
        <v>0</v>
      </c>
      <c r="AU82" s="92">
        <f t="shared" si="23"/>
        <v>0</v>
      </c>
      <c r="AV82" s="93">
        <f t="shared" si="24"/>
        <v>0</v>
      </c>
    </row>
    <row r="83" spans="42:48" x14ac:dyDescent="0.25">
      <c r="AP83" s="91">
        <f t="shared" si="18"/>
        <v>0</v>
      </c>
      <c r="AQ83" s="92">
        <f t="shared" si="19"/>
        <v>0</v>
      </c>
      <c r="AR83" s="92">
        <f t="shared" si="20"/>
        <v>0</v>
      </c>
      <c r="AS83" s="92">
        <f t="shared" si="21"/>
        <v>0</v>
      </c>
      <c r="AT83" s="92">
        <f t="shared" si="22"/>
        <v>0</v>
      </c>
      <c r="AU83" s="92">
        <f t="shared" si="23"/>
        <v>0</v>
      </c>
      <c r="AV83" s="93">
        <f t="shared" si="24"/>
        <v>0</v>
      </c>
    </row>
    <row r="84" spans="42:48" x14ac:dyDescent="0.25">
      <c r="AP84" s="91">
        <f t="shared" si="18"/>
        <v>0</v>
      </c>
      <c r="AQ84" s="92">
        <f t="shared" si="19"/>
        <v>0</v>
      </c>
      <c r="AR84" s="92">
        <f t="shared" si="20"/>
        <v>0</v>
      </c>
      <c r="AS84" s="92">
        <f t="shared" si="21"/>
        <v>0</v>
      </c>
      <c r="AT84" s="92">
        <f t="shared" si="22"/>
        <v>0</v>
      </c>
      <c r="AU84" s="92">
        <f t="shared" si="23"/>
        <v>0</v>
      </c>
      <c r="AV84" s="93">
        <f t="shared" si="24"/>
        <v>0</v>
      </c>
    </row>
    <row r="85" spans="42:48" x14ac:dyDescent="0.25">
      <c r="AP85" s="91">
        <f t="shared" si="18"/>
        <v>0</v>
      </c>
      <c r="AQ85" s="92">
        <f t="shared" si="19"/>
        <v>0</v>
      </c>
      <c r="AR85" s="92">
        <f t="shared" si="20"/>
        <v>0</v>
      </c>
      <c r="AS85" s="92">
        <f t="shared" si="21"/>
        <v>0</v>
      </c>
      <c r="AT85" s="92">
        <f t="shared" si="22"/>
        <v>0</v>
      </c>
      <c r="AU85" s="92">
        <f t="shared" si="23"/>
        <v>0</v>
      </c>
      <c r="AV85" s="93">
        <f t="shared" si="24"/>
        <v>0</v>
      </c>
    </row>
    <row r="86" spans="42:48" x14ac:dyDescent="0.25">
      <c r="AP86" s="91">
        <f t="shared" si="18"/>
        <v>0</v>
      </c>
      <c r="AQ86" s="92">
        <f t="shared" si="19"/>
        <v>0</v>
      </c>
      <c r="AR86" s="92">
        <f t="shared" si="20"/>
        <v>0</v>
      </c>
      <c r="AS86" s="92">
        <f t="shared" si="21"/>
        <v>0</v>
      </c>
      <c r="AT86" s="92">
        <f t="shared" si="22"/>
        <v>0</v>
      </c>
      <c r="AU86" s="92">
        <f t="shared" si="23"/>
        <v>0</v>
      </c>
      <c r="AV86" s="93">
        <f t="shared" si="24"/>
        <v>0</v>
      </c>
    </row>
    <row r="87" spans="42:48" x14ac:dyDescent="0.25">
      <c r="AP87" s="91">
        <f t="shared" si="18"/>
        <v>0</v>
      </c>
      <c r="AQ87" s="92">
        <f t="shared" si="19"/>
        <v>0</v>
      </c>
      <c r="AR87" s="92">
        <f t="shared" si="20"/>
        <v>0</v>
      </c>
      <c r="AS87" s="92">
        <f t="shared" si="21"/>
        <v>0</v>
      </c>
      <c r="AT87" s="92">
        <f t="shared" si="22"/>
        <v>0</v>
      </c>
      <c r="AU87" s="92">
        <f t="shared" si="23"/>
        <v>0</v>
      </c>
      <c r="AV87" s="93">
        <f t="shared" si="24"/>
        <v>0</v>
      </c>
    </row>
    <row r="88" spans="42:48" x14ac:dyDescent="0.25">
      <c r="AP88" s="91">
        <f t="shared" si="18"/>
        <v>0</v>
      </c>
      <c r="AQ88" s="92">
        <f t="shared" si="19"/>
        <v>0</v>
      </c>
      <c r="AR88" s="92">
        <f t="shared" si="20"/>
        <v>0</v>
      </c>
      <c r="AS88" s="92">
        <f t="shared" si="21"/>
        <v>0</v>
      </c>
      <c r="AT88" s="92">
        <f t="shared" si="22"/>
        <v>0</v>
      </c>
      <c r="AU88" s="92">
        <f t="shared" si="23"/>
        <v>0</v>
      </c>
      <c r="AV88" s="93">
        <f t="shared" si="24"/>
        <v>0</v>
      </c>
    </row>
    <row r="89" spans="42:48" x14ac:dyDescent="0.25">
      <c r="AP89" s="91">
        <f t="shared" si="18"/>
        <v>0</v>
      </c>
      <c r="AQ89" s="92">
        <f t="shared" si="19"/>
        <v>0</v>
      </c>
      <c r="AR89" s="92">
        <f t="shared" si="20"/>
        <v>0</v>
      </c>
      <c r="AS89" s="92">
        <f t="shared" si="21"/>
        <v>0</v>
      </c>
      <c r="AT89" s="92">
        <f t="shared" si="22"/>
        <v>0</v>
      </c>
      <c r="AU89" s="92">
        <f t="shared" si="23"/>
        <v>0</v>
      </c>
      <c r="AV89" s="93">
        <f t="shared" si="24"/>
        <v>0</v>
      </c>
    </row>
    <row r="90" spans="42:48" x14ac:dyDescent="0.25">
      <c r="AP90" s="91">
        <f t="shared" si="18"/>
        <v>0</v>
      </c>
      <c r="AQ90" s="92">
        <f t="shared" si="19"/>
        <v>0</v>
      </c>
      <c r="AR90" s="92">
        <f t="shared" si="20"/>
        <v>0</v>
      </c>
      <c r="AS90" s="92">
        <f t="shared" si="21"/>
        <v>0</v>
      </c>
      <c r="AT90" s="92">
        <f t="shared" si="22"/>
        <v>0</v>
      </c>
      <c r="AU90" s="92">
        <f t="shared" si="23"/>
        <v>0</v>
      </c>
      <c r="AV90" s="93">
        <f t="shared" si="24"/>
        <v>0</v>
      </c>
    </row>
    <row r="91" spans="42:48" x14ac:dyDescent="0.25">
      <c r="AP91" s="91">
        <f t="shared" si="18"/>
        <v>0</v>
      </c>
      <c r="AQ91" s="92">
        <f t="shared" si="19"/>
        <v>0</v>
      </c>
      <c r="AR91" s="92">
        <f t="shared" si="20"/>
        <v>0</v>
      </c>
      <c r="AS91" s="92">
        <f t="shared" si="21"/>
        <v>0</v>
      </c>
      <c r="AT91" s="92">
        <f t="shared" si="22"/>
        <v>0</v>
      </c>
      <c r="AU91" s="92">
        <f t="shared" si="23"/>
        <v>0</v>
      </c>
      <c r="AV91" s="93">
        <f t="shared" si="24"/>
        <v>0</v>
      </c>
    </row>
    <row r="92" spans="42:48" x14ac:dyDescent="0.25">
      <c r="AP92" s="91">
        <f t="shared" si="18"/>
        <v>0</v>
      </c>
      <c r="AQ92" s="92">
        <f t="shared" si="19"/>
        <v>0</v>
      </c>
      <c r="AR92" s="92">
        <f t="shared" si="20"/>
        <v>0</v>
      </c>
      <c r="AS92" s="92">
        <f t="shared" si="21"/>
        <v>0</v>
      </c>
      <c r="AT92" s="92">
        <f t="shared" si="22"/>
        <v>0</v>
      </c>
      <c r="AU92" s="92">
        <f t="shared" si="23"/>
        <v>0</v>
      </c>
      <c r="AV92" s="93">
        <f t="shared" si="24"/>
        <v>0</v>
      </c>
    </row>
    <row r="93" spans="42:48" ht="15.75" customHeight="1" thickBot="1" x14ac:dyDescent="0.3">
      <c r="AP93" s="94">
        <f t="shared" si="18"/>
        <v>0</v>
      </c>
      <c r="AQ93" s="95">
        <f t="shared" si="19"/>
        <v>0</v>
      </c>
      <c r="AR93" s="95">
        <f t="shared" si="20"/>
        <v>0</v>
      </c>
      <c r="AS93" s="95">
        <f t="shared" si="21"/>
        <v>0</v>
      </c>
      <c r="AT93" s="95">
        <f t="shared" si="22"/>
        <v>0</v>
      </c>
      <c r="AU93" s="95">
        <f t="shared" si="23"/>
        <v>0</v>
      </c>
      <c r="AV93" s="96">
        <f t="shared" si="24"/>
        <v>0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P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5" x14ac:dyDescent="0.25"/>
  <sheetData>
    <row r="1" spans="1:16" ht="15.75" customHeight="1" thickBot="1" x14ac:dyDescent="0.3">
      <c r="C1" s="124" t="s">
        <v>334</v>
      </c>
      <c r="D1" s="125"/>
      <c r="E1" s="125"/>
      <c r="F1" s="125"/>
      <c r="G1" s="125"/>
      <c r="H1" s="125"/>
      <c r="I1" s="126"/>
      <c r="J1" s="124" t="s">
        <v>369</v>
      </c>
      <c r="K1" s="125"/>
      <c r="L1" s="125"/>
      <c r="M1" s="125"/>
      <c r="N1" s="125"/>
      <c r="O1" s="125"/>
      <c r="P1" s="126"/>
    </row>
    <row r="2" spans="1:16" ht="15.75" customHeight="1" thickBot="1" x14ac:dyDescent="0.3">
      <c r="A2" s="127" t="s">
        <v>151</v>
      </c>
      <c r="B2" s="129" t="s">
        <v>152</v>
      </c>
      <c r="C2" s="131" t="s">
        <v>15</v>
      </c>
      <c r="D2" s="132"/>
      <c r="E2" s="132"/>
      <c r="F2" s="132"/>
      <c r="G2" s="132"/>
      <c r="H2" s="133" t="s">
        <v>16</v>
      </c>
      <c r="I2" s="134"/>
      <c r="J2" s="131" t="s">
        <v>15</v>
      </c>
      <c r="K2" s="132"/>
      <c r="L2" s="132"/>
      <c r="M2" s="132"/>
      <c r="N2" s="132"/>
      <c r="O2" s="133" t="s">
        <v>16</v>
      </c>
      <c r="P2" s="134"/>
    </row>
    <row r="3" spans="1:16" ht="30.75" customHeight="1" thickBot="1" x14ac:dyDescent="0.3">
      <c r="A3" s="128"/>
      <c r="B3" s="130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25">
      <c r="A4" s="63" t="s">
        <v>177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2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25">
      <c r="A6" s="63" t="s">
        <v>178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2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25">
      <c r="A8" s="63" t="s">
        <v>179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2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2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3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x14ac:dyDescent="0.25">
      <c r="A12" s="139" t="str">
        <f>Summary!B19</f>
        <v>Cat1-A average</v>
      </c>
      <c r="B12" s="136"/>
      <c r="C12" s="75" t="e">
        <f>Summary!C19</f>
        <v>#DIV/0!</v>
      </c>
      <c r="D12" s="75" t="e">
        <f>Summary!D19</f>
        <v>#DIV/0!</v>
      </c>
      <c r="E12" s="75" t="e">
        <f>Summary!E19</f>
        <v>#DIV/0!</v>
      </c>
      <c r="F12" s="75" t="e">
        <f>Summary!F19</f>
        <v>#DIV/0!</v>
      </c>
      <c r="G12" s="75" t="e">
        <f>Summary!G19</f>
        <v>#DIV/0!</v>
      </c>
      <c r="H12" s="75" t="e">
        <f>Summary!H19</f>
        <v>#DIV/0!</v>
      </c>
      <c r="I12" s="75" t="e">
        <f>Summary!I19</f>
        <v>#DIV/0!</v>
      </c>
      <c r="J12" s="76" t="e">
        <f>Summary!C31</f>
        <v>#DIV/0!</v>
      </c>
      <c r="K12" s="77" t="e">
        <f>Summary!D31</f>
        <v>#DIV/0!</v>
      </c>
      <c r="L12" s="77" t="e">
        <f>Summary!E31</f>
        <v>#DIV/0!</v>
      </c>
      <c r="M12" s="77" t="e">
        <f>Summary!F31</f>
        <v>#DIV/0!</v>
      </c>
      <c r="N12" s="77" t="e">
        <f>Summary!G31</f>
        <v>#DIV/0!</v>
      </c>
      <c r="O12" s="77" t="e">
        <f>Summary!H31</f>
        <v>#DIV/0!</v>
      </c>
      <c r="P12" s="78" t="e">
        <f>Summary!I31</f>
        <v>#DIV/0!</v>
      </c>
    </row>
    <row r="13" spans="1:16" x14ac:dyDescent="0.25">
      <c r="A13" s="140" t="str">
        <f>Summary!B20</f>
        <v>Cat1-B average</v>
      </c>
      <c r="B13" s="141"/>
      <c r="C13" s="79" t="e">
        <f>Summary!C20</f>
        <v>#DIV/0!</v>
      </c>
      <c r="D13" s="79" t="e">
        <f>Summary!D20</f>
        <v>#DIV/0!</v>
      </c>
      <c r="E13" s="79" t="e">
        <f>Summary!E20</f>
        <v>#DIV/0!</v>
      </c>
      <c r="F13" s="79" t="e">
        <f>Summary!F20</f>
        <v>#DIV/0!</v>
      </c>
      <c r="G13" s="79" t="e">
        <f>Summary!G20</f>
        <v>#DIV/0!</v>
      </c>
      <c r="H13" s="79" t="e">
        <f>Summary!H20</f>
        <v>#DIV/0!</v>
      </c>
      <c r="I13" s="79" t="e">
        <f>Summary!I20</f>
        <v>#DIV/0!</v>
      </c>
      <c r="J13" s="80" t="e">
        <f>Summary!C32</f>
        <v>#DIV/0!</v>
      </c>
      <c r="K13" s="79" t="e">
        <f>Summary!D32</f>
        <v>#DIV/0!</v>
      </c>
      <c r="L13" s="79" t="e">
        <f>Summary!E32</f>
        <v>#DIV/0!</v>
      </c>
      <c r="M13" s="79" t="e">
        <f>Summary!F32</f>
        <v>#DIV/0!</v>
      </c>
      <c r="N13" s="79" t="e">
        <f>Summary!G32</f>
        <v>#DIV/0!</v>
      </c>
      <c r="O13" s="79" t="e">
        <f>Summary!H32</f>
        <v>#DIV/0!</v>
      </c>
      <c r="P13" s="81" t="e">
        <f>Summary!I32</f>
        <v>#DIV/0!</v>
      </c>
    </row>
    <row r="14" spans="1:16" ht="15.75" customHeight="1" thickBot="1" x14ac:dyDescent="0.3">
      <c r="A14" s="142" t="str">
        <f>Summary!B21</f>
        <v>Cat1-C average</v>
      </c>
      <c r="B14" s="141"/>
      <c r="C14" s="75" t="e">
        <f>Summary!C21</f>
        <v>#DIV/0!</v>
      </c>
      <c r="D14" s="75" t="e">
        <f>Summary!D21</f>
        <v>#DIV/0!</v>
      </c>
      <c r="E14" s="75" t="e">
        <f>Summary!E21</f>
        <v>#DIV/0!</v>
      </c>
      <c r="F14" s="75" t="e">
        <f>Summary!F21</f>
        <v>#DIV/0!</v>
      </c>
      <c r="G14" s="75" t="e">
        <f>Summary!G21</f>
        <v>#DIV/0!</v>
      </c>
      <c r="H14" s="75" t="e">
        <f>Summary!H21</f>
        <v>#DIV/0!</v>
      </c>
      <c r="I14" s="75" t="e">
        <f>Summary!I21</f>
        <v>#DIV/0!</v>
      </c>
      <c r="J14" s="82" t="e">
        <f>Summary!C33</f>
        <v>#DIV/0!</v>
      </c>
      <c r="K14" s="75" t="e">
        <f>Summary!D33</f>
        <v>#DIV/0!</v>
      </c>
      <c r="L14" s="75" t="e">
        <f>Summary!E33</f>
        <v>#DIV/0!</v>
      </c>
      <c r="M14" s="75" t="e">
        <f>Summary!F33</f>
        <v>#DIV/0!</v>
      </c>
      <c r="N14" s="75" t="e">
        <f>Summary!G33</f>
        <v>#DIV/0!</v>
      </c>
      <c r="O14" s="75" t="e">
        <f>Summary!H33</f>
        <v>#DIV/0!</v>
      </c>
      <c r="P14" s="83" t="e">
        <f>Summary!I33</f>
        <v>#DIV/0!</v>
      </c>
    </row>
    <row r="15" spans="1:16" ht="15.75" customHeight="1" thickBot="1" x14ac:dyDescent="0.3">
      <c r="A15" s="143" t="str">
        <f>Summary!B22</f>
        <v>Overall average</v>
      </c>
      <c r="B15" s="126"/>
      <c r="C15" s="84" t="e">
        <f>Summary!C22</f>
        <v>#DIV/0!</v>
      </c>
      <c r="D15" s="84" t="e">
        <f>Summary!D22</f>
        <v>#DIV/0!</v>
      </c>
      <c r="E15" s="84" t="e">
        <f>Summary!E22</f>
        <v>#DIV/0!</v>
      </c>
      <c r="F15" s="84" t="e">
        <f>Summary!F22</f>
        <v>#DIV/0!</v>
      </c>
      <c r="G15" s="84" t="e">
        <f>Summary!G22</f>
        <v>#DIV/0!</v>
      </c>
      <c r="H15" s="84" t="e">
        <f>Summary!H22</f>
        <v>#DIV/0!</v>
      </c>
      <c r="I15" s="84" t="e">
        <f>Summary!I22</f>
        <v>#DIV/0!</v>
      </c>
      <c r="J15" s="85" t="e">
        <f>Summary!C34</f>
        <v>#DIV/0!</v>
      </c>
      <c r="K15" s="84" t="e">
        <f>Summary!D34</f>
        <v>#DIV/0!</v>
      </c>
      <c r="L15" s="84" t="e">
        <f>Summary!E34</f>
        <v>#DIV/0!</v>
      </c>
      <c r="M15" s="84" t="e">
        <f>Summary!F34</f>
        <v>#DIV/0!</v>
      </c>
      <c r="N15" s="84" t="e">
        <f>Summary!G34</f>
        <v>#DIV/0!</v>
      </c>
      <c r="O15" s="84" t="e">
        <f>Summary!H34</f>
        <v>#DIV/0!</v>
      </c>
      <c r="P15" s="86" t="e">
        <f>Summary!I34</f>
        <v>#DIV/0!</v>
      </c>
    </row>
    <row r="16" spans="1:16" x14ac:dyDescent="0.25">
      <c r="A16" s="142" t="str">
        <f>Summary!B23</f>
        <v>Avg. Enc Time [%]</v>
      </c>
      <c r="B16" s="141"/>
      <c r="C16" s="135" t="e">
        <f>Summary!C23</f>
        <v>#DIV/0!</v>
      </c>
      <c r="D16" s="132"/>
      <c r="E16" s="132"/>
      <c r="F16" s="132"/>
      <c r="G16" s="132"/>
      <c r="H16" s="132"/>
      <c r="I16" s="136"/>
      <c r="J16" s="135" t="e">
        <f>Summary!C35</f>
        <v>#DIV/0!</v>
      </c>
      <c r="K16" s="132"/>
      <c r="L16" s="132"/>
      <c r="M16" s="132"/>
      <c r="N16" s="132"/>
      <c r="O16" s="132"/>
      <c r="P16" s="136"/>
    </row>
    <row r="17" spans="1:16" ht="15.75" customHeight="1" thickBot="1" x14ac:dyDescent="0.3">
      <c r="A17" s="137" t="str">
        <f>Summary!B24</f>
        <v>Avg. Dec Time [%]</v>
      </c>
      <c r="B17" s="130"/>
      <c r="C17" s="138" t="e">
        <f>Summary!C24</f>
        <v>#DIV/0!</v>
      </c>
      <c r="D17" s="108"/>
      <c r="E17" s="108"/>
      <c r="F17" s="108"/>
      <c r="G17" s="108"/>
      <c r="H17" s="108"/>
      <c r="I17" s="130"/>
      <c r="J17" s="138" t="e">
        <f>Summary!C36</f>
        <v>#DIV/0!</v>
      </c>
      <c r="K17" s="108"/>
      <c r="L17" s="108"/>
      <c r="M17" s="108"/>
      <c r="N17" s="108"/>
      <c r="O17" s="108"/>
      <c r="P17" s="130"/>
    </row>
  </sheetData>
  <mergeCells count="18"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  <mergeCell ref="C1:I1"/>
    <mergeCell ref="J1:P1"/>
    <mergeCell ref="A2:A3"/>
    <mergeCell ref="B2:B3"/>
    <mergeCell ref="C2:G2"/>
    <mergeCell ref="H2:I2"/>
    <mergeCell ref="J2:N2"/>
    <mergeCell ref="O2:P2"/>
  </mergeCells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Olivier Mocquard</cp:lastModifiedBy>
  <dcterms:created xsi:type="dcterms:W3CDTF">2021-10-29T10:34:58Z</dcterms:created>
  <dcterms:modified xsi:type="dcterms:W3CDTF">2023-05-22T08:19:50Z</dcterms:modified>
</cp:coreProperties>
</file>