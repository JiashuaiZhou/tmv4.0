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726" codeName="{AE6600E7-7A62-396C-DE95-9942FA9DD81E}"/>
  <workbookPr codeName="ThisWorkbook1" defaultThemeVersion="124226"/>
  <mc:AlternateContent xmlns:mc="http://schemas.openxmlformats.org/markup-compatibility/2006">
    <mc:Choice Requires="x15">
      <x15ac:absPath xmlns:x15ac="http://schemas.microsoft.com/office/spreadsheetml/2010/11/ac" url="X:\gitv20\tmv20_v17\scripts\results\"/>
    </mc:Choice>
  </mc:AlternateContent>
  <xr:revisionPtr revIDLastSave="0" documentId="13_ncr:1_{FAEA6C52-AB49-4353-9BD4-F7E85636B826}" xr6:coauthVersionLast="47" xr6:coauthVersionMax="47" xr10:uidLastSave="{00000000-0000-0000-0000-000000000000}"/>
  <bookViews>
    <workbookView xWindow="28680" yWindow="-120" windowWidth="29040" windowHeight="17520" xr2:uid="{00000000-000D-0000-FFFF-FFFF00000000}"/>
  </bookViews>
  <sheets>
    <sheet name="Summary" sheetId="1" r:id="rId1"/>
    <sheet name="Graphs" sheetId="2" r:id="rId2"/>
    <sheet name="C0 lossless AI" sheetId="3" r:id="rId3"/>
    <sheet name="names" sheetId="4" state="hidden" r:id="rId4"/>
    <sheet name="C1 lossy AI" sheetId="5" r:id="rId5"/>
    <sheet name="C2 lossy RA" sheetId="6" r:id="rId6"/>
  </sheets>
  <functionGroups builtInGroupCount="19"/>
  <definedNames>
    <definedName name="all_cols" localSheetId="1">Graphs!$I$2:$I$49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 name="graph_g_A_title" localSheetId="1">INDIRECT(VLOOKUP("name.A."&amp;Graphs!$B$1,names!$A:$B,2,0))</definedName>
    <definedName name="graph_g_B_title" localSheetId="1">INDIRECT(VLOOKUP("name.B."&amp;Graphs!$B$1,names!$A:$B,2,0))</definedName>
    <definedName name="graph_g_title" localSheetId="1">CONCATENATE(Graphs!graph_g_y_title, " (Graph g)")</definedName>
    <definedName name="graph_g_x_range_A" localSheetId="1">IF(ISREF(Graphs!graph_g_x_range_A_),Graphs!graph_g_x_range_A_,{0})</definedName>
    <definedName name="graph_g_x_range_A_" localSheetId="1">INDEX(INDIRECT(VLOOKUP("range." &amp; Graphs!$B$1 &amp;"."&amp; Graphs!$B$2, names!$A:$B,2,0)), 0, VLOOKUP("col."&amp; Graphs!$B$1 &amp;".A."&amp; Graphs!$B$10, names!$A:$B,2,0))</definedName>
    <definedName name="graph_g_x_range_B" localSheetId="1">IF(ISREF(Graphs!graph_g_x_range_B_),Graphs!graph_g_x_range_B_,{0})</definedName>
    <definedName name="graph_g_x_range_B_" localSheetId="1">INDEX(INDIRECT(VLOOKUP("range." &amp; Graphs!$B$1 &amp;"."&amp; Graphs!$B$2, names!$A:$B,2,0)), 0, VLOOKUP("col."&amp; Graphs!$B$1 &amp;".B."&amp; Graphs!$B$10, names!$A:$B,2,0))</definedName>
    <definedName name="graph_g_x_title" localSheetId="1">OFFSET(Graphs!all_cols, MATCH(Graphs!$B$10, Graphs!all_cols, 0)-1,1,1,1)</definedName>
    <definedName name="graph_g_y_range_A" localSheetId="1">IF(ISREF(Graphs!graph_g_y_range_A_),Graphs!graph_g_y_range_A_,{0})</definedName>
    <definedName name="graph_g_y_range_A_" localSheetId="1">INDEX(INDIRECT(VLOOKUP("range." &amp; Graphs!$B$1 &amp;"."&amp; Graphs!$B$2, names!$A:$B,2,0)), 0, VLOOKUP("col."&amp; Graphs!$B$1 &amp;".A."&amp; Graphs!$D$10, names!$A:$B,2,0))</definedName>
    <definedName name="graph_g_y_range_B" localSheetId="1">IF(ISREF(Graphs!graph_g_y_range_B_),Graphs!graph_g_y_range_B_,{0})</definedName>
    <definedName name="graph_g_y_range_B_" localSheetId="1">INDEX(INDIRECT(VLOOKUP("range." &amp; Graphs!$B$1 &amp;"."&amp; Graphs!$B$2, names!$A:$B,2,0)), 0, VLOOKUP("col."&amp; Graphs!$B$1 &amp;".B."&amp; Graphs!$D$10, names!$A:$B,2,0))</definedName>
    <definedName name="graph_g_y_title" localSheetId="1">OFFSET(Graphs!all_cols, MATCH(Graphs!$D$10,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1" i="3" l="1"/>
  <c r="H1" i="3"/>
  <c r="X1" i="5"/>
  <c r="J1" i="5"/>
  <c r="X1" i="6"/>
  <c r="J1" i="6"/>
  <c r="AJ49" i="6"/>
  <c r="AI49" i="6"/>
  <c r="V49" i="6"/>
  <c r="U49" i="6"/>
  <c r="Y44" i="6"/>
  <c r="X44" i="6"/>
  <c r="K44" i="6"/>
  <c r="J44" i="6"/>
  <c r="Y43" i="6"/>
  <c r="X43" i="6"/>
  <c r="K43" i="6"/>
  <c r="J43" i="6"/>
  <c r="Y42" i="6"/>
  <c r="X42" i="6"/>
  <c r="K42" i="6"/>
  <c r="J42" i="6"/>
  <c r="Y41" i="6"/>
  <c r="X41" i="6"/>
  <c r="K41" i="6"/>
  <c r="J41" i="6"/>
  <c r="AR40" i="6" a="1"/>
  <c r="AR40" i="6" s="1"/>
  <c r="AQ40" i="6" a="1"/>
  <c r="AQ40" i="6" s="1"/>
  <c r="AP40" i="6" a="1"/>
  <c r="AP40" i="6" s="1"/>
  <c r="AO40" i="6" a="1"/>
  <c r="AO40" i="6" s="1"/>
  <c r="AN40" i="6" a="1"/>
  <c r="AN40" i="6" s="1"/>
  <c r="AM40" i="6" a="1"/>
  <c r="AM40" i="6" s="1"/>
  <c r="AL40" i="6" a="1"/>
  <c r="AL40" i="6" s="1"/>
  <c r="Y40" i="6"/>
  <c r="X40" i="6"/>
  <c r="K40" i="6"/>
  <c r="J40" i="6"/>
  <c r="Y39" i="6"/>
  <c r="X39" i="6"/>
  <c r="K39" i="6"/>
  <c r="J39" i="6"/>
  <c r="Y38" i="6"/>
  <c r="X38" i="6"/>
  <c r="K38" i="6"/>
  <c r="J38" i="6"/>
  <c r="Y37" i="6"/>
  <c r="X37" i="6"/>
  <c r="K37" i="6"/>
  <c r="J37" i="6"/>
  <c r="Y36" i="6"/>
  <c r="X36" i="6"/>
  <c r="K36" i="6"/>
  <c r="J36" i="6"/>
  <c r="AR35" i="6" a="1"/>
  <c r="AR35" i="6" s="1"/>
  <c r="AQ35" i="6" a="1"/>
  <c r="AQ35" i="6" s="1"/>
  <c r="AP35" i="6" a="1"/>
  <c r="AP35" i="6" s="1"/>
  <c r="AO35" i="6" a="1"/>
  <c r="AO35" i="6" s="1"/>
  <c r="AN35" i="6" a="1"/>
  <c r="AN35" i="6" s="1"/>
  <c r="AM35" i="6" a="1"/>
  <c r="AM35" i="6" s="1"/>
  <c r="AL35" i="6" a="1"/>
  <c r="AL35" i="6" s="1"/>
  <c r="Y35" i="6"/>
  <c r="X35" i="6"/>
  <c r="K35" i="6"/>
  <c r="J35" i="6"/>
  <c r="Y34" i="6"/>
  <c r="X34" i="6"/>
  <c r="K34" i="6"/>
  <c r="J34" i="6"/>
  <c r="Y33" i="6"/>
  <c r="X33" i="6"/>
  <c r="K33" i="6"/>
  <c r="J33" i="6"/>
  <c r="Y32" i="6"/>
  <c r="X32" i="6"/>
  <c r="K32" i="6"/>
  <c r="J32" i="6"/>
  <c r="Y31" i="6"/>
  <c r="X31" i="6"/>
  <c r="K31" i="6"/>
  <c r="J31" i="6"/>
  <c r="AR30" i="6" a="1"/>
  <c r="AR30" i="6" s="1"/>
  <c r="AQ30" i="6" a="1"/>
  <c r="AQ30" i="6" s="1"/>
  <c r="AP30" i="6" a="1"/>
  <c r="AP30" i="6" s="1"/>
  <c r="AO30" i="6" a="1"/>
  <c r="AO30" i="6" s="1"/>
  <c r="AN30" i="6" a="1"/>
  <c r="AN30" i="6" s="1"/>
  <c r="AM30" i="6" a="1"/>
  <c r="AM30" i="6" s="1"/>
  <c r="AL30" i="6" a="1"/>
  <c r="AL30" i="6" s="1"/>
  <c r="Y30" i="6"/>
  <c r="X30" i="6"/>
  <c r="K30" i="6"/>
  <c r="J30" i="6"/>
  <c r="Y29" i="6"/>
  <c r="X29" i="6"/>
  <c r="K29" i="6"/>
  <c r="J29" i="6"/>
  <c r="Y28" i="6"/>
  <c r="X28" i="6"/>
  <c r="K28" i="6"/>
  <c r="J28" i="6"/>
  <c r="Y27" i="6"/>
  <c r="X27" i="6"/>
  <c r="K27" i="6"/>
  <c r="J27" i="6"/>
  <c r="Y26" i="6"/>
  <c r="X26" i="6"/>
  <c r="K26" i="6"/>
  <c r="J26" i="6"/>
  <c r="AR25" i="6" a="1"/>
  <c r="AR25" i="6" s="1"/>
  <c r="AQ25" i="6" a="1"/>
  <c r="AQ25" i="6" s="1"/>
  <c r="AP25" i="6" a="1"/>
  <c r="AP25" i="6" s="1"/>
  <c r="AO25" i="6" a="1"/>
  <c r="AO25" i="6" s="1"/>
  <c r="AN25" i="6" a="1"/>
  <c r="AN25" i="6" s="1"/>
  <c r="AM25" i="6" a="1"/>
  <c r="AM25" i="6" s="1"/>
  <c r="AL25" i="6" a="1"/>
  <c r="AL25" i="6" s="1"/>
  <c r="Y25" i="6"/>
  <c r="X25" i="6"/>
  <c r="K25" i="6"/>
  <c r="J25" i="6"/>
  <c r="Y24" i="6"/>
  <c r="X24" i="6"/>
  <c r="K24" i="6"/>
  <c r="J24" i="6"/>
  <c r="Y23" i="6"/>
  <c r="X23" i="6"/>
  <c r="K23" i="6"/>
  <c r="J23" i="6"/>
  <c r="Y22" i="6"/>
  <c r="X22" i="6"/>
  <c r="K22" i="6"/>
  <c r="J22" i="6"/>
  <c r="Y21" i="6"/>
  <c r="X21" i="6"/>
  <c r="K21" i="6"/>
  <c r="J21" i="6"/>
  <c r="AR20" i="6" a="1"/>
  <c r="AR20" i="6" s="1"/>
  <c r="AQ20" i="6" a="1"/>
  <c r="AQ20" i="6" s="1"/>
  <c r="AP20" i="6" a="1"/>
  <c r="AP20" i="6" s="1"/>
  <c r="AO20" i="6" a="1"/>
  <c r="AO20" i="6" s="1"/>
  <c r="AN20" i="6" a="1"/>
  <c r="AN20" i="6" s="1"/>
  <c r="AM20" i="6" a="1"/>
  <c r="AM20" i="6" s="1"/>
  <c r="AL20" i="6" a="1"/>
  <c r="AL20" i="6" s="1"/>
  <c r="Y20" i="6"/>
  <c r="X20" i="6"/>
  <c r="K20" i="6"/>
  <c r="J20" i="6"/>
  <c r="Y19" i="6"/>
  <c r="X19" i="6"/>
  <c r="K19" i="6"/>
  <c r="J19" i="6"/>
  <c r="Y18" i="6"/>
  <c r="X18" i="6"/>
  <c r="K18" i="6"/>
  <c r="J18" i="6"/>
  <c r="Y17" i="6"/>
  <c r="X17" i="6"/>
  <c r="K17" i="6"/>
  <c r="J17" i="6"/>
  <c r="Y16" i="6"/>
  <c r="X16" i="6"/>
  <c r="K16" i="6"/>
  <c r="J16" i="6"/>
  <c r="AR15" i="6" a="1"/>
  <c r="AR15" i="6" s="1"/>
  <c r="AQ15" i="6" a="1"/>
  <c r="AQ15" i="6" s="1"/>
  <c r="AP15" i="6" a="1"/>
  <c r="AP15" i="6" s="1"/>
  <c r="AO15" i="6" a="1"/>
  <c r="AO15" i="6" s="1"/>
  <c r="AN15" i="6" a="1"/>
  <c r="AN15" i="6" s="1"/>
  <c r="AM15" i="6" a="1"/>
  <c r="AM15" i="6" s="1"/>
  <c r="AL15" i="6" a="1"/>
  <c r="AL15" i="6" s="1"/>
  <c r="Y15" i="6"/>
  <c r="X15" i="6"/>
  <c r="K15" i="6"/>
  <c r="J15" i="6"/>
  <c r="Y14" i="6"/>
  <c r="X14" i="6"/>
  <c r="K14" i="6"/>
  <c r="J14" i="6"/>
  <c r="Y13" i="6"/>
  <c r="X13" i="6"/>
  <c r="K13" i="6"/>
  <c r="J13" i="6"/>
  <c r="Y12" i="6"/>
  <c r="X12" i="6"/>
  <c r="K12" i="6"/>
  <c r="J12" i="6"/>
  <c r="Y11" i="6"/>
  <c r="X11" i="6"/>
  <c r="K11" i="6"/>
  <c r="J11" i="6"/>
  <c r="AR10" i="6" a="1"/>
  <c r="AR10" i="6" s="1"/>
  <c r="AQ10" i="6" a="1"/>
  <c r="AQ10" i="6" s="1"/>
  <c r="AP10" i="6" a="1"/>
  <c r="AP10" i="6" s="1"/>
  <c r="AO10" i="6" a="1"/>
  <c r="AO10" i="6" s="1"/>
  <c r="AN10" i="6" a="1"/>
  <c r="AN10" i="6" s="1"/>
  <c r="AM10" i="6" a="1"/>
  <c r="AM10" i="6" s="1"/>
  <c r="AL10" i="6" a="1"/>
  <c r="AL10" i="6" s="1"/>
  <c r="Y10" i="6"/>
  <c r="X10" i="6"/>
  <c r="K10" i="6"/>
  <c r="J10" i="6"/>
  <c r="Y9" i="6"/>
  <c r="X9" i="6"/>
  <c r="K9" i="6"/>
  <c r="J9" i="6"/>
  <c r="Y8" i="6"/>
  <c r="X8" i="6"/>
  <c r="K8" i="6"/>
  <c r="J8" i="6"/>
  <c r="Y7" i="6"/>
  <c r="X7" i="6"/>
  <c r="K7" i="6"/>
  <c r="J7" i="6"/>
  <c r="Y6" i="6"/>
  <c r="X6" i="6"/>
  <c r="K6" i="6"/>
  <c r="J6" i="6"/>
  <c r="AR5" i="6" a="1"/>
  <c r="AR5" i="6" s="1"/>
  <c r="AQ5" i="6" a="1"/>
  <c r="AQ5" i="6" s="1"/>
  <c r="AP5" i="6" a="1"/>
  <c r="AP5" i="6" s="1"/>
  <c r="AO5" i="6" a="1"/>
  <c r="AO5" i="6" s="1"/>
  <c r="AN5" i="6" a="1"/>
  <c r="AN5" i="6" s="1"/>
  <c r="AM5" i="6" a="1"/>
  <c r="AM5" i="6" s="1"/>
  <c r="AL5" i="6" a="1"/>
  <c r="AL5" i="6" s="1"/>
  <c r="Y5" i="6"/>
  <c r="X5" i="6"/>
  <c r="K5" i="6"/>
  <c r="J5" i="6"/>
  <c r="AJ49" i="5"/>
  <c r="AI49" i="5"/>
  <c r="V49" i="5"/>
  <c r="U49" i="5"/>
  <c r="Y44" i="5"/>
  <c r="X44" i="5"/>
  <c r="K44" i="5"/>
  <c r="J44" i="5"/>
  <c r="Y43" i="5"/>
  <c r="X43" i="5"/>
  <c r="K43" i="5"/>
  <c r="J43" i="5"/>
  <c r="Y42" i="5"/>
  <c r="X42" i="5"/>
  <c r="K42" i="5"/>
  <c r="J42" i="5"/>
  <c r="Y41" i="5"/>
  <c r="X41" i="5"/>
  <c r="K41" i="5"/>
  <c r="J41" i="5"/>
  <c r="AR40" i="5" a="1"/>
  <c r="AR40" i="5" s="1"/>
  <c r="AQ40" i="5" a="1"/>
  <c r="AQ40" i="5" s="1"/>
  <c r="AP40" i="5" a="1"/>
  <c r="AP40" i="5" s="1"/>
  <c r="AO40" i="5" a="1"/>
  <c r="AO40" i="5" s="1"/>
  <c r="AN40" i="5" a="1"/>
  <c r="AN40" i="5" s="1"/>
  <c r="AM40" i="5" a="1"/>
  <c r="AM40" i="5" s="1"/>
  <c r="AL40" i="5" a="1"/>
  <c r="AL40" i="5" s="1"/>
  <c r="Y40" i="5"/>
  <c r="X40" i="5"/>
  <c r="K40" i="5"/>
  <c r="J40" i="5"/>
  <c r="Y39" i="5"/>
  <c r="X39" i="5"/>
  <c r="K39" i="5"/>
  <c r="J39" i="5"/>
  <c r="Y38" i="5"/>
  <c r="X38" i="5"/>
  <c r="K38" i="5"/>
  <c r="J38" i="5"/>
  <c r="Y37" i="5"/>
  <c r="X37" i="5"/>
  <c r="K37" i="5"/>
  <c r="J37" i="5"/>
  <c r="Y36" i="5"/>
  <c r="X36" i="5"/>
  <c r="K36" i="5"/>
  <c r="J36" i="5"/>
  <c r="AR35" i="5" a="1"/>
  <c r="AR35" i="5" s="1"/>
  <c r="AQ35" i="5" a="1"/>
  <c r="AQ35" i="5" s="1"/>
  <c r="AP35" i="5" a="1"/>
  <c r="AP35" i="5" s="1"/>
  <c r="AO35" i="5" a="1"/>
  <c r="AO35" i="5" s="1"/>
  <c r="AN35" i="5" a="1"/>
  <c r="AN35" i="5" s="1"/>
  <c r="AM35" i="5" a="1"/>
  <c r="AM35" i="5" s="1"/>
  <c r="AL35" i="5" a="1"/>
  <c r="AL35" i="5" s="1"/>
  <c r="Y35" i="5"/>
  <c r="X35" i="5"/>
  <c r="K35" i="5"/>
  <c r="J35" i="5"/>
  <c r="Y34" i="5"/>
  <c r="X34" i="5"/>
  <c r="K34" i="5"/>
  <c r="J34" i="5"/>
  <c r="Y33" i="5"/>
  <c r="X33" i="5"/>
  <c r="K33" i="5"/>
  <c r="J33" i="5"/>
  <c r="Y32" i="5"/>
  <c r="X32" i="5"/>
  <c r="K32" i="5"/>
  <c r="J32" i="5"/>
  <c r="Y31" i="5"/>
  <c r="X31" i="5"/>
  <c r="K31" i="5"/>
  <c r="J31" i="5"/>
  <c r="AR30" i="5" a="1"/>
  <c r="AR30" i="5" s="1"/>
  <c r="AQ30" i="5" a="1"/>
  <c r="AQ30" i="5" s="1"/>
  <c r="AP30" i="5" a="1"/>
  <c r="AP30" i="5" s="1"/>
  <c r="AO30" i="5" a="1"/>
  <c r="AO30" i="5" s="1"/>
  <c r="AN30" i="5" a="1"/>
  <c r="AN30" i="5" s="1"/>
  <c r="AM30" i="5" a="1"/>
  <c r="AM30" i="5" s="1"/>
  <c r="AL30" i="5" a="1"/>
  <c r="AL30" i="5" s="1"/>
  <c r="Y30" i="5"/>
  <c r="X30" i="5"/>
  <c r="K30" i="5"/>
  <c r="J30" i="5"/>
  <c r="Y29" i="5"/>
  <c r="X29" i="5"/>
  <c r="K29" i="5"/>
  <c r="J29" i="5"/>
  <c r="Y28" i="5"/>
  <c r="X28" i="5"/>
  <c r="K28" i="5"/>
  <c r="J28" i="5"/>
  <c r="Y27" i="5"/>
  <c r="X27" i="5"/>
  <c r="K27" i="5"/>
  <c r="J27" i="5"/>
  <c r="Y26" i="5"/>
  <c r="X26" i="5"/>
  <c r="K26" i="5"/>
  <c r="J26" i="5"/>
  <c r="AR25" i="5" a="1"/>
  <c r="AR25" i="5" s="1"/>
  <c r="AQ25" i="5" a="1"/>
  <c r="AQ25" i="5" s="1"/>
  <c r="AP25" i="5" a="1"/>
  <c r="AP25" i="5" s="1"/>
  <c r="AO25" i="5" a="1"/>
  <c r="AO25" i="5" s="1"/>
  <c r="AN25" i="5" a="1"/>
  <c r="AN25" i="5" s="1"/>
  <c r="AM25" i="5" a="1"/>
  <c r="AM25" i="5" s="1"/>
  <c r="AL25" i="5" a="1"/>
  <c r="AL25" i="5" s="1"/>
  <c r="Y25" i="5"/>
  <c r="X25" i="5"/>
  <c r="K25" i="5"/>
  <c r="J25" i="5"/>
  <c r="Y24" i="5"/>
  <c r="X24" i="5"/>
  <c r="K24" i="5"/>
  <c r="J24" i="5"/>
  <c r="Y23" i="5"/>
  <c r="X23" i="5"/>
  <c r="K23" i="5"/>
  <c r="J23" i="5"/>
  <c r="Y22" i="5"/>
  <c r="X22" i="5"/>
  <c r="K22" i="5"/>
  <c r="J22" i="5"/>
  <c r="Y21" i="5"/>
  <c r="X21" i="5"/>
  <c r="K21" i="5"/>
  <c r="J21" i="5"/>
  <c r="AR20" i="5" a="1"/>
  <c r="AR20" i="5" s="1"/>
  <c r="AQ20" i="5" a="1"/>
  <c r="AQ20" i="5" s="1"/>
  <c r="AP20" i="5" a="1"/>
  <c r="AP20" i="5" s="1"/>
  <c r="AO20" i="5" a="1"/>
  <c r="AO20" i="5" s="1"/>
  <c r="AN20" i="5" a="1"/>
  <c r="AN20" i="5" s="1"/>
  <c r="AM20" i="5" a="1"/>
  <c r="AM20" i="5" s="1"/>
  <c r="AL20" i="5" a="1"/>
  <c r="AL20" i="5" s="1"/>
  <c r="Y20" i="5"/>
  <c r="X20" i="5"/>
  <c r="K20" i="5"/>
  <c r="J20" i="5"/>
  <c r="Y19" i="5"/>
  <c r="X19" i="5"/>
  <c r="K19" i="5"/>
  <c r="J19" i="5"/>
  <c r="Y18" i="5"/>
  <c r="X18" i="5"/>
  <c r="K18" i="5"/>
  <c r="J18" i="5"/>
  <c r="Y17" i="5"/>
  <c r="X17" i="5"/>
  <c r="K17" i="5"/>
  <c r="J17" i="5"/>
  <c r="Y16" i="5"/>
  <c r="X16" i="5"/>
  <c r="K16" i="5"/>
  <c r="J16" i="5"/>
  <c r="AR15" i="5" a="1"/>
  <c r="AR15" i="5" s="1"/>
  <c r="AQ15" i="5" a="1"/>
  <c r="AQ15" i="5" s="1"/>
  <c r="AP15" i="5" a="1"/>
  <c r="AP15" i="5" s="1"/>
  <c r="AO15" i="5" a="1"/>
  <c r="AO15" i="5" s="1"/>
  <c r="AN15" i="5" a="1"/>
  <c r="AN15" i="5" s="1"/>
  <c r="AM15" i="5" a="1"/>
  <c r="AM15" i="5" s="1"/>
  <c r="AL15" i="5" a="1"/>
  <c r="AL15" i="5" s="1"/>
  <c r="Y15" i="5"/>
  <c r="X15" i="5"/>
  <c r="K15" i="5"/>
  <c r="J15" i="5"/>
  <c r="Y14" i="5"/>
  <c r="X14" i="5"/>
  <c r="K14" i="5"/>
  <c r="J14" i="5"/>
  <c r="Y13" i="5"/>
  <c r="X13" i="5"/>
  <c r="K13" i="5"/>
  <c r="J13" i="5"/>
  <c r="Y12" i="5"/>
  <c r="X12" i="5"/>
  <c r="K12" i="5"/>
  <c r="J12" i="5"/>
  <c r="Y11" i="5"/>
  <c r="X11" i="5"/>
  <c r="K11" i="5"/>
  <c r="J11" i="5"/>
  <c r="AR10" i="5" a="1"/>
  <c r="AR10" i="5" s="1"/>
  <c r="AQ10" i="5" a="1"/>
  <c r="AQ10" i="5" s="1"/>
  <c r="AP10" i="5" a="1"/>
  <c r="AP10" i="5" s="1"/>
  <c r="AO10" i="5" a="1"/>
  <c r="AO10" i="5" s="1"/>
  <c r="AN10" i="5" a="1"/>
  <c r="AN10" i="5" s="1"/>
  <c r="AM10" i="5" a="1"/>
  <c r="AM10" i="5" s="1"/>
  <c r="AL10" i="5" a="1"/>
  <c r="AL10" i="5" s="1"/>
  <c r="Y10" i="5"/>
  <c r="X10" i="5"/>
  <c r="K10" i="5"/>
  <c r="J10" i="5"/>
  <c r="Y9" i="5"/>
  <c r="X9" i="5"/>
  <c r="K9" i="5"/>
  <c r="J9" i="5"/>
  <c r="Y8" i="5"/>
  <c r="X8" i="5"/>
  <c r="K8" i="5"/>
  <c r="J8" i="5"/>
  <c r="Y7" i="5"/>
  <c r="X7" i="5"/>
  <c r="K7" i="5"/>
  <c r="J7" i="5"/>
  <c r="Y6" i="5"/>
  <c r="X6" i="5"/>
  <c r="K6" i="5"/>
  <c r="J6" i="5"/>
  <c r="AR5" i="5" a="1"/>
  <c r="AR5" i="5" s="1"/>
  <c r="AQ5" i="5" a="1"/>
  <c r="AQ5" i="5" s="1"/>
  <c r="AP5" i="5" a="1"/>
  <c r="AP5" i="5" s="1"/>
  <c r="AO5" i="5" a="1"/>
  <c r="AO5" i="5" s="1"/>
  <c r="AN5" i="5" a="1"/>
  <c r="AN5" i="5" s="1"/>
  <c r="AM5" i="5" a="1"/>
  <c r="AM5" i="5" s="1"/>
  <c r="AL5" i="5" a="1"/>
  <c r="AL5" i="5" s="1"/>
  <c r="Y5" i="5"/>
  <c r="X5" i="5"/>
  <c r="K5" i="5"/>
  <c r="J5" i="5"/>
  <c r="R17" i="3"/>
  <c r="Q17" i="3"/>
  <c r="Q18" i="3" s="1"/>
  <c r="C13" i="1" s="1"/>
  <c r="L17" i="3"/>
  <c r="R18" i="3" s="1"/>
  <c r="C14" i="1" s="1"/>
  <c r="K17" i="3"/>
  <c r="O13" i="3"/>
  <c r="O12" i="3"/>
  <c r="N12" i="3"/>
  <c r="I12" i="3"/>
  <c r="H12" i="3"/>
  <c r="O11" i="3"/>
  <c r="N11" i="3"/>
  <c r="I11" i="3"/>
  <c r="H11" i="3"/>
  <c r="O10" i="3"/>
  <c r="N10" i="3"/>
  <c r="I10" i="3"/>
  <c r="T10" i="3" s="1"/>
  <c r="H10" i="3"/>
  <c r="O9" i="3"/>
  <c r="N9" i="3"/>
  <c r="I9" i="3"/>
  <c r="H9" i="3"/>
  <c r="O8" i="3"/>
  <c r="N8" i="3"/>
  <c r="I8" i="3"/>
  <c r="T8" i="3" s="1"/>
  <c r="H8" i="3"/>
  <c r="O7" i="3"/>
  <c r="O14" i="3" s="1"/>
  <c r="N7" i="3"/>
  <c r="I7" i="3"/>
  <c r="H7" i="3"/>
  <c r="O6" i="3"/>
  <c r="N6" i="3"/>
  <c r="I6" i="3"/>
  <c r="T6" i="3" s="1"/>
  <c r="H6" i="3"/>
  <c r="O5" i="3"/>
  <c r="N5" i="3"/>
  <c r="I5" i="3"/>
  <c r="H5" i="3"/>
  <c r="B1" i="2"/>
  <c r="Y45" i="5" l="1"/>
  <c r="Y47" i="5"/>
  <c r="Y46" i="5"/>
  <c r="Y46" i="6"/>
  <c r="Y45" i="6"/>
  <c r="Y47" i="6"/>
  <c r="I14" i="3"/>
  <c r="T14" i="3" s="1"/>
  <c r="C10" i="1" s="1"/>
  <c r="I16" i="3"/>
  <c r="I15" i="3"/>
  <c r="T12" i="3"/>
  <c r="T5" i="3"/>
  <c r="T9" i="3"/>
  <c r="T11" i="3"/>
  <c r="AR46" i="5"/>
  <c r="I20" i="1" s="1"/>
  <c r="AO47" i="6"/>
  <c r="F33" i="1" s="1"/>
  <c r="K47" i="6"/>
  <c r="AM46" i="6"/>
  <c r="D32" i="1" s="1"/>
  <c r="AN46" i="6"/>
  <c r="E32" i="1" s="1"/>
  <c r="K46" i="6"/>
  <c r="K45" i="6"/>
  <c r="AI50" i="6"/>
  <c r="C35" i="1" s="1"/>
  <c r="AJ50" i="6"/>
  <c r="C36" i="1" s="1"/>
  <c r="AP47" i="5"/>
  <c r="G21" i="1" s="1"/>
  <c r="K47" i="5"/>
  <c r="AJ50" i="5"/>
  <c r="C24" i="1" s="1"/>
  <c r="AM46" i="5"/>
  <c r="D20" i="1" s="1"/>
  <c r="AN46" i="5"/>
  <c r="E20" i="1" s="1"/>
  <c r="AP46" i="5"/>
  <c r="G20" i="1" s="1"/>
  <c r="K46" i="5"/>
  <c r="AP48" i="5"/>
  <c r="G22" i="1" s="1"/>
  <c r="AL45" i="5"/>
  <c r="C19" i="1" s="1"/>
  <c r="AI50" i="5"/>
  <c r="C23" i="1" s="1"/>
  <c r="K45" i="5"/>
  <c r="K48" i="5"/>
  <c r="AP47" i="6"/>
  <c r="G33" i="1" s="1"/>
  <c r="AL46" i="6"/>
  <c r="C32" i="1" s="1"/>
  <c r="AR47" i="6"/>
  <c r="I33" i="1" s="1"/>
  <c r="AO46" i="5"/>
  <c r="F20" i="1" s="1"/>
  <c r="AM47" i="5"/>
  <c r="D21" i="1" s="1"/>
  <c r="AM47" i="6"/>
  <c r="D33" i="1" s="1"/>
  <c r="AQ46" i="5"/>
  <c r="H20" i="1" s="1"/>
  <c r="AN47" i="6"/>
  <c r="E33" i="1" s="1"/>
  <c r="AP46" i="6"/>
  <c r="G32" i="1" s="1"/>
  <c r="AL46" i="5"/>
  <c r="C20" i="1" s="1"/>
  <c r="AR45" i="6"/>
  <c r="I31" i="1" s="1"/>
  <c r="AR48" i="6"/>
  <c r="I34" i="1" s="1"/>
  <c r="AQ46" i="6"/>
  <c r="H32" i="1" s="1"/>
  <c r="AM45" i="5"/>
  <c r="D19" i="1" s="1"/>
  <c r="AM48" i="5"/>
  <c r="D22" i="1" s="1"/>
  <c r="AQ47" i="5"/>
  <c r="H21" i="1" s="1"/>
  <c r="AL48" i="6"/>
  <c r="C34" i="1" s="1"/>
  <c r="AL45" i="6"/>
  <c r="C31" i="1" s="1"/>
  <c r="AR45" i="5"/>
  <c r="I19" i="1" s="1"/>
  <c r="AR48" i="5"/>
  <c r="I22" i="1" s="1"/>
  <c r="AQ45" i="6"/>
  <c r="H31" i="1" s="1"/>
  <c r="AQ48" i="6"/>
  <c r="H34" i="1" s="1"/>
  <c r="AN48" i="5"/>
  <c r="E22" i="1" s="1"/>
  <c r="AN45" i="5"/>
  <c r="E19" i="1" s="1"/>
  <c r="AL47" i="5"/>
  <c r="C21" i="1" s="1"/>
  <c r="AR47" i="5"/>
  <c r="I21" i="1" s="1"/>
  <c r="AM48" i="6"/>
  <c r="D34" i="1" s="1"/>
  <c r="AM45" i="6"/>
  <c r="D31" i="1" s="1"/>
  <c r="AR46" i="6"/>
  <c r="I32" i="1" s="1"/>
  <c r="AQ47" i="6"/>
  <c r="H33" i="1" s="1"/>
  <c r="AO48" i="6"/>
  <c r="F34" i="1" s="1"/>
  <c r="AL47" i="6"/>
  <c r="C33" i="1" s="1"/>
  <c r="AO48" i="5"/>
  <c r="F22" i="1" s="1"/>
  <c r="AO45" i="5"/>
  <c r="F19" i="1" s="1"/>
  <c r="AN48" i="6"/>
  <c r="E34" i="1" s="1"/>
  <c r="AN45" i="6"/>
  <c r="E31" i="1" s="1"/>
  <c r="AN47" i="5"/>
  <c r="E21" i="1" s="1"/>
  <c r="AQ48" i="5"/>
  <c r="H22" i="1" s="1"/>
  <c r="AQ45" i="5"/>
  <c r="H19" i="1" s="1"/>
  <c r="AO47" i="5"/>
  <c r="F21" i="1" s="1"/>
  <c r="AP48" i="6"/>
  <c r="G34" i="1" s="1"/>
  <c r="AP45" i="6"/>
  <c r="G31" i="1" s="1"/>
  <c r="AO46" i="6"/>
  <c r="F32" i="1" s="1"/>
  <c r="Y48" i="5"/>
  <c r="O15" i="3"/>
  <c r="K48" i="6"/>
  <c r="T7" i="3"/>
  <c r="AL48" i="5"/>
  <c r="C22" i="1" s="1"/>
  <c r="I13" i="3"/>
  <c r="T13" i="3" s="1"/>
  <c r="C9" i="1" s="1"/>
  <c r="AP45" i="5"/>
  <c r="G19" i="1" s="1"/>
  <c r="Y48" i="6"/>
  <c r="AO45" i="6"/>
  <c r="F31" i="1" s="1"/>
  <c r="O16" i="3"/>
  <c r="T16" i="3" l="1"/>
  <c r="C12" i="1" s="1"/>
  <c r="T15" i="3"/>
  <c r="C11" i="1" s="1"/>
</calcChain>
</file>

<file path=xl/sharedStrings.xml><?xml version="1.0" encoding="utf-8"?>
<sst xmlns="http://schemas.openxmlformats.org/spreadsheetml/2006/main" count="805" uniqueCount="378">
  <si>
    <t>Reference:</t>
  </si>
  <si>
    <t>Tested:</t>
  </si>
  <si>
    <t>anchor</t>
  </si>
  <si>
    <t>proposal</t>
  </si>
  <si>
    <t>Columns</t>
  </si>
  <si>
    <t>dec.cb-hpsnr</t>
  </si>
  <si>
    <t>Chroma Cb EtE Hausdorff PSNR [dB]</t>
  </si>
  <si>
    <t>dec.cb-psnr</t>
  </si>
  <si>
    <t>Chroma Cb End-to-end PSNR [dB]</t>
  </si>
  <si>
    <t>dec.cr-hpsnr</t>
  </si>
  <si>
    <t>Chroma Cr EtE Hausdorff PSNR [dB]</t>
  </si>
  <si>
    <t>dec.cr-psnr</t>
  </si>
  <si>
    <t>Chroma Cr End-to-end PSNR [dB]</t>
  </si>
  <si>
    <t>dec.d1-mse</t>
  </si>
  <si>
    <t>D1 Geometry MSE</t>
  </si>
  <si>
    <t>dec.d1-psnr</t>
  </si>
  <si>
    <t>D1 Geometry PSNR [dB]</t>
  </si>
  <si>
    <t>dec.d2-mse</t>
  </si>
  <si>
    <t>D2 Geometry MSE</t>
  </si>
  <si>
    <t>dec.d2-psnr</t>
  </si>
  <si>
    <t>D2 Geometry PSNR [dB]</t>
  </si>
  <si>
    <t>dec.geom-psnr</t>
  </si>
  <si>
    <t>Geo Geometry PSNR [dB]</t>
  </si>
  <si>
    <t>dec.img-geom-psnr</t>
  </si>
  <si>
    <t>Geom Image-based PSNR [dB]</t>
  </si>
  <si>
    <t>dec.img-y-psnr</t>
  </si>
  <si>
    <t>Luma Image-based PSNR [dB]</t>
  </si>
  <si>
    <t>dec.numduppoints.mean</t>
  </si>
  <si>
    <t>Mean duplicate points</t>
  </si>
  <si>
    <t>dec.numfaces</t>
  </si>
  <si>
    <t>№ output faces</t>
  </si>
  <si>
    <t>dec.numpoints</t>
  </si>
  <si>
    <t>№ output points</t>
  </si>
  <si>
    <t>dec.numpoints.mean</t>
  </si>
  <si>
    <t>Mean output points</t>
  </si>
  <si>
    <t>dec.pc-cb-psnr</t>
  </si>
  <si>
    <t>Chroma Cb Pointcloud-based PSNR [dB]</t>
  </si>
  <si>
    <t>dec.pc-cr-psnr</t>
  </si>
  <si>
    <t>Chroma Cr Pointcloud-based PSNR [dB]</t>
  </si>
  <si>
    <t>dec.pc-d1-psnr</t>
  </si>
  <si>
    <t>D1 Pointcloud-based PSNR [dB]</t>
  </si>
  <si>
    <t>dec.pc-d2-psnr</t>
  </si>
  <si>
    <t>D2 Pointcloud-based PSNR [dB]</t>
  </si>
  <si>
    <t>dec.pc-y-psnr</t>
  </si>
  <si>
    <t>Luma Pointcloud-based PSNR [dB]</t>
  </si>
  <si>
    <t>dec.post-recolour.cb-psnr</t>
  </si>
  <si>
    <t>Chroma Cb Post recolour PSNR [dB]</t>
  </si>
  <si>
    <t>dec.post-recolour.cr-psnr</t>
  </si>
  <si>
    <t>Chroma Cr Post recolour PSNR [dB]</t>
  </si>
  <si>
    <t>dec.post-recolour.y-psnr</t>
  </si>
  <si>
    <t>Luma Post recolour PSNR [dB]</t>
  </si>
  <si>
    <t>dec.reflectance-hpsnr</t>
  </si>
  <si>
    <t>Reflectance EtE Hausdorff PSNR [dB]</t>
  </si>
  <si>
    <t>dec.reflectance-psnr</t>
  </si>
  <si>
    <t>Reflectance End-to-end PSNR [dB]</t>
  </si>
  <si>
    <t>dec.utime</t>
  </si>
  <si>
    <t>User Decoder runtime [s]</t>
  </si>
  <si>
    <t>dec.utime.children</t>
  </si>
  <si>
    <t>Child Decoder runtime [s]</t>
  </si>
  <si>
    <t>dec.utime.self</t>
  </si>
  <si>
    <t>Self Decoder runtime [s]</t>
  </si>
  <si>
    <t>dec.y-hpsnr</t>
  </si>
  <si>
    <t>Luma EtE Hausdorff PSNR [dB]</t>
  </si>
  <si>
    <t>dec.y-psnr</t>
  </si>
  <si>
    <t>Luma End-to-end PSNR [dB]</t>
  </si>
  <si>
    <t>enc.bits.colour</t>
  </si>
  <si>
    <t>Colour Bitstream [bits]</t>
  </si>
  <si>
    <t>enc.bits.geometry</t>
  </si>
  <si>
    <t>Geometry Bitstream [bits]</t>
  </si>
  <si>
    <t>enc.bits.occ+patch</t>
  </si>
  <si>
    <t>Occ+Patch Bitstream [bits]</t>
  </si>
  <si>
    <t>enc.bits.reflectance</t>
  </si>
  <si>
    <t>Reflectance Bitstream [bits]</t>
  </si>
  <si>
    <t>enc.ext.bits</t>
  </si>
  <si>
    <t>Total Bitstream [bits]</t>
  </si>
  <si>
    <t>enc.utime</t>
  </si>
  <si>
    <t>User Encoder runtime [s]</t>
  </si>
  <si>
    <t>enc.utime.children</t>
  </si>
  <si>
    <t>Child Encoder runtime [s]</t>
  </si>
  <si>
    <t>enc.utime.self</t>
  </si>
  <si>
    <t>Self Encoder runtime [s]</t>
  </si>
  <si>
    <t>eqn.bitrate</t>
  </si>
  <si>
    <t>Rate [Mbps]</t>
  </si>
  <si>
    <t>eqn.bits.totalgeometry</t>
  </si>
  <si>
    <t>eqn.bits.totalgeometry Bitstream [bits]</t>
  </si>
  <si>
    <t>eqn.bpf</t>
  </si>
  <si>
    <t>Total Bits per input face [bpif]</t>
  </si>
  <si>
    <t>eqn.bpop</t>
  </si>
  <si>
    <t>Total Bits per output point [bpop]</t>
  </si>
  <si>
    <t>eqn.bpp</t>
  </si>
  <si>
    <t>Total Bits per input point [bpip]</t>
  </si>
  <si>
    <t>eqn.bpp.colour</t>
  </si>
  <si>
    <t>Colour  Bits per input point [bpip]</t>
  </si>
  <si>
    <t>eqn.bpp.geometry</t>
  </si>
  <si>
    <t>Geometry Bits per input point [bpip]</t>
  </si>
  <si>
    <t>eqn.bpp.geometry+occ+patch</t>
  </si>
  <si>
    <t>Tot.Geom Bits per input point [bpip]</t>
  </si>
  <si>
    <t>eqn.bpp.reflectance</t>
  </si>
  <si>
    <t>Reflectance Bits per input point [bpip]</t>
  </si>
  <si>
    <t>eqn.compratio</t>
  </si>
  <si>
    <t>Comp. ratio [%]</t>
  </si>
  <si>
    <t>Condition:</t>
  </si>
  <si>
    <t>← Select this …</t>
  </si>
  <si>
    <t>Sequence:</t>
  </si>
  <si>
    <t>← … then this</t>
  </si>
  <si>
    <t>X:</t>
  </si>
  <si>
    <t>Y:</t>
  </si>
  <si>
    <t>← settings for graph a</t>
  </si>
  <si>
    <t>← settings for graph b</t>
  </si>
  <si>
    <t>← settings for graph c</t>
  </si>
  <si>
    <t>← settings for graph d</t>
  </si>
  <si>
    <t>← settings for graph e</t>
  </si>
  <si>
    <t>← settings for graph f</t>
  </si>
  <si>
    <t>← settings for graph g</t>
  </si>
  <si>
    <t>Class</t>
  </si>
  <si>
    <t>class</t>
  </si>
  <si>
    <t>col.C0 lossless AI.class</t>
  </si>
  <si>
    <t>Sequence</t>
  </si>
  <si>
    <t>sequence</t>
  </si>
  <si>
    <t>col.C0 lossless AI.sequence</t>
  </si>
  <si>
    <t>№ input faces</t>
  </si>
  <si>
    <t>src.numfaces</t>
  </si>
  <si>
    <t>col.C0 lossless AI.src.numfaces</t>
  </si>
  <si>
    <t>Geometry precision [bits]</t>
  </si>
  <si>
    <t>src.geometry-precision</t>
  </si>
  <si>
    <t>col.C0 lossless AI.src.geometry-precision</t>
  </si>
  <si>
    <t>№ frames</t>
  </si>
  <si>
    <t>src.framecount</t>
  </si>
  <si>
    <t>col.C0 lossless AI.src.framecount</t>
  </si>
  <si>
    <t>Frame rate [fps]</t>
  </si>
  <si>
    <t>src.framerate</t>
  </si>
  <si>
    <t>col.C0 lossless AI.src.framerate</t>
  </si>
  <si>
    <t>A.eqn.bitrate</t>
  </si>
  <si>
    <t>col.C0 lossless AI.A.eqn.bitrate</t>
  </si>
  <si>
    <t>A.eqn.bpf</t>
  </si>
  <si>
    <t>col.C0 lossless AI.A.eqn.bpf</t>
  </si>
  <si>
    <t>A.enc.ext.bits</t>
  </si>
  <si>
    <t>col.C0 lossless AI.A.enc.ext.bits</t>
  </si>
  <si>
    <t>A.enc.utime</t>
  </si>
  <si>
    <t>col.C0 lossless AI.A.enc.utime</t>
  </si>
  <si>
    <t>A.dec.utime</t>
  </si>
  <si>
    <t>col.C0 lossless AI.A.dec.utime</t>
  </si>
  <si>
    <t>B.eqn.bitrate</t>
  </si>
  <si>
    <t>col.C0 lossless AI.B.eqn.bitrate</t>
  </si>
  <si>
    <t>B.eqn.bpf</t>
  </si>
  <si>
    <t>col.C0 lossless AI.B.eqn.bpf</t>
  </si>
  <si>
    <t>B.enc.ext.bits</t>
  </si>
  <si>
    <t>col.C0 lossless AI.B.enc.ext.bits</t>
  </si>
  <si>
    <t>B.enc.utime</t>
  </si>
  <si>
    <t>col.C0 lossless AI.B.enc.utime</t>
  </si>
  <si>
    <t>B.dec.utime</t>
  </si>
  <si>
    <t>col.C0 lossless AI.B.dec.utime</t>
  </si>
  <si>
    <t>Total bpif ratio [%]</t>
  </si>
  <si>
    <t>eqn.ab.ratio-bpf</t>
  </si>
  <si>
    <t>col.C0 lossless AI.eqn.ab.ratio-bpf</t>
  </si>
  <si>
    <t>C0_ai — lossless geometry, lossless attributes [all intra]</t>
  </si>
  <si>
    <t>name.A.C0 lossless AI</t>
  </si>
  <si>
    <t>'C0 lossless AI'!$H$1</t>
  </si>
  <si>
    <t>name.B.C0 lossless AI</t>
  </si>
  <si>
    <t>'C0 lossless AI'!$N$1</t>
  </si>
  <si>
    <t>longdress_voxelised</t>
  </si>
  <si>
    <t>cat1-A</t>
  </si>
  <si>
    <t>range.C0 lossless AI.longdress_voxelised</t>
  </si>
  <si>
    <t>'C0 lossless AI'!$A$5:$T$5</t>
  </si>
  <si>
    <t>soldier_voxelised</t>
  </si>
  <si>
    <t>range.C0 lossless AI.soldier_voxelised</t>
  </si>
  <si>
    <t>'C0 lossless AI'!$A$6:$T$6</t>
  </si>
  <si>
    <t>basketball_player_voxelised</t>
  </si>
  <si>
    <t>cat1-B</t>
  </si>
  <si>
    <t>range.C0 lossless AI.basketball_player_voxelised</t>
  </si>
  <si>
    <t>'C0 lossless AI'!$A$7:$T$7</t>
  </si>
  <si>
    <t>dancer_voxelised</t>
  </si>
  <si>
    <t>range.C0 lossless AI.dancer_voxelised</t>
  </si>
  <si>
    <t>'C0 lossless AI'!$A$8:$T$8</t>
  </si>
  <si>
    <t>football_voxelised</t>
  </si>
  <si>
    <t>cat1-C</t>
  </si>
  <si>
    <t>range.C0 lossless AI.football_voxelised</t>
  </si>
  <si>
    <t>'C0 lossless AI'!$A$9:$T$9</t>
  </si>
  <si>
    <t>levi_voxelised</t>
  </si>
  <si>
    <t>range.C0 lossless AI.levi_voxelised</t>
  </si>
  <si>
    <t>'C0 lossless AI'!$A$10:$T$10</t>
  </si>
  <si>
    <t>mitch_voxelised</t>
  </si>
  <si>
    <t>range.C0 lossless AI.mitch_voxelised</t>
  </si>
  <si>
    <t>'C0 lossless AI'!$A$11:$T$11</t>
  </si>
  <si>
    <t>thomas_voxelised</t>
  </si>
  <si>
    <t>range.C0 lossless AI.thomas_voxelised</t>
  </si>
  <si>
    <t>'C0 lossless AI'!$A$12:$T$12</t>
  </si>
  <si>
    <t>Cat1-A average</t>
  </si>
  <si>
    <t>Cat1-B average</t>
  </si>
  <si>
    <t>Cat1-C average</t>
  </si>
  <si>
    <t>Overall average</t>
  </si>
  <si>
    <t>Overall</t>
  </si>
  <si>
    <t>Total time [s]</t>
  </si>
  <si>
    <t>Total time [%]</t>
  </si>
  <si>
    <t>All Intra</t>
  </si>
  <si>
    <t>C0_ai</t>
  </si>
  <si>
    <t>lossless geometry, lossless attributes [all intra]</t>
  </si>
  <si>
    <t>bpif ratio [%]</t>
  </si>
  <si>
    <t>Total</t>
  </si>
  <si>
    <t>Avg. Enc Time [%]</t>
  </si>
  <si>
    <t>Avg. Dec Time [%]</t>
  </si>
  <si>
    <t>col.C1 lossy AI.class</t>
  </si>
  <si>
    <t>col.C1 lossy AI.sequence</t>
  </si>
  <si>
    <t>Variant</t>
  </si>
  <si>
    <t>variant</t>
  </si>
  <si>
    <t>col.C1 lossy AI.variant</t>
  </si>
  <si>
    <t>col.C1 lossy AI.src.numfaces</t>
  </si>
  <si>
    <t>col.C1 lossy AI.src.geometry-precision</t>
  </si>
  <si>
    <t>col.C1 lossy AI.src.framecount</t>
  </si>
  <si>
    <t>col.C1 lossy AI.src.framerate</t>
  </si>
  <si>
    <t>Target rate [Mbps]</t>
  </si>
  <si>
    <t>ctc.targetrate</t>
  </si>
  <si>
    <t>col.C1 lossy AI.ctc.targetrate</t>
  </si>
  <si>
    <t>col.C1 lossy AI.A.eqn.bitrate</t>
  </si>
  <si>
    <t>col.C1 lossy AI.A.eqn.bpf</t>
  </si>
  <si>
    <t>A.dec.numfaces</t>
  </si>
  <si>
    <t>col.C1 lossy AI.A.dec.numfaces</t>
  </si>
  <si>
    <t>col.C1 lossy AI.A.enc.ext.bits</t>
  </si>
  <si>
    <t>Pointcloud-based PSNR [dB]</t>
  </si>
  <si>
    <t>D1</t>
  </si>
  <si>
    <t>A.dec.pc-d1-psnr</t>
  </si>
  <si>
    <t>col.C1 lossy AI.A.dec.pc-d1-psnr</t>
  </si>
  <si>
    <t>D2</t>
  </si>
  <si>
    <t>A.dec.pc-d2-psnr</t>
  </si>
  <si>
    <t>col.C1 lossy AI.A.dec.pc-d2-psnr</t>
  </si>
  <si>
    <t>Luma</t>
  </si>
  <si>
    <t>A.dec.pc-y-psnr</t>
  </si>
  <si>
    <t>col.C1 lossy AI.A.dec.pc-y-psnr</t>
  </si>
  <si>
    <t>Chroma Cb</t>
  </si>
  <si>
    <t>A.dec.pc-cb-psnr</t>
  </si>
  <si>
    <t>col.C1 lossy AI.A.dec.pc-cb-psnr</t>
  </si>
  <si>
    <t>Chroma Cr</t>
  </si>
  <si>
    <t>A.dec.pc-cr-psnr</t>
  </si>
  <si>
    <t>col.C1 lossy AI.A.dec.pc-cr-psnr</t>
  </si>
  <si>
    <t>Image-based PSNR [dB]</t>
  </si>
  <si>
    <t>Geom</t>
  </si>
  <si>
    <t>A.dec.img-geom-psnr</t>
  </si>
  <si>
    <t>col.C1 lossy AI.A.dec.img-geom-psnr</t>
  </si>
  <si>
    <t>A.dec.img-y-psnr</t>
  </si>
  <si>
    <t>col.C1 lossy AI.A.dec.img-y-psnr</t>
  </si>
  <si>
    <t>col.C1 lossy AI.A.enc.utime</t>
  </si>
  <si>
    <t>col.C1 lossy AI.A.dec.utime</t>
  </si>
  <si>
    <t>col.C1 lossy AI.B.eqn.bitrate</t>
  </si>
  <si>
    <t>col.C1 lossy AI.B.eqn.bpf</t>
  </si>
  <si>
    <t>B.dec.numfaces</t>
  </si>
  <si>
    <t>col.C1 lossy AI.B.dec.numfaces</t>
  </si>
  <si>
    <t>col.C1 lossy AI.B.enc.ext.bits</t>
  </si>
  <si>
    <t>B.dec.pc-d1-psnr</t>
  </si>
  <si>
    <t>col.C1 lossy AI.B.dec.pc-d1-psnr</t>
  </si>
  <si>
    <t>B.dec.pc-d2-psnr</t>
  </si>
  <si>
    <t>col.C1 lossy AI.B.dec.pc-d2-psnr</t>
  </si>
  <si>
    <t>B.dec.pc-y-psnr</t>
  </si>
  <si>
    <t>col.C1 lossy AI.B.dec.pc-y-psnr</t>
  </si>
  <si>
    <t>B.dec.pc-cb-psnr</t>
  </si>
  <si>
    <t>col.C1 lossy AI.B.dec.pc-cb-psnr</t>
  </si>
  <si>
    <t>B.dec.pc-cr-psnr</t>
  </si>
  <si>
    <t>col.C1 lossy AI.B.dec.pc-cr-psnr</t>
  </si>
  <si>
    <t>B.dec.img-geom-psnr</t>
  </si>
  <si>
    <t>col.C1 lossy AI.B.dec.img-geom-psnr</t>
  </si>
  <si>
    <t>B.dec.img-y-psnr</t>
  </si>
  <si>
    <t>col.C1 lossy AI.B.dec.img-y-psnr</t>
  </si>
  <si>
    <t>col.C1 lossy AI.B.enc.utime</t>
  </si>
  <si>
    <t>col.C1 lossy AI.B.dec.utime</t>
  </si>
  <si>
    <t>Pointcloud-based BD‑Rate [%]</t>
  </si>
  <si>
    <t>eqn.ab.bdrate-pc-d1</t>
  </si>
  <si>
    <t>col.C1 lossy AI.eqn.ab.bdrate-pc-d1</t>
  </si>
  <si>
    <t>eqn.ab.bdrate-pc-d2</t>
  </si>
  <si>
    <t>col.C1 lossy AI.eqn.ab.bdrate-pc-d2</t>
  </si>
  <si>
    <t>eqn.ab.bdrate-pc-y</t>
  </si>
  <si>
    <t>col.C1 lossy AI.eqn.ab.bdrate-pc-y</t>
  </si>
  <si>
    <t>eqn.ab.bdrate-pc-cb</t>
  </si>
  <si>
    <t>col.C1 lossy AI.eqn.ab.bdrate-pc-cb</t>
  </si>
  <si>
    <t>eqn.ab.bdrate-pc-cr</t>
  </si>
  <si>
    <t>col.C1 lossy AI.eqn.ab.bdrate-pc-cr</t>
  </si>
  <si>
    <t>Image-based BD‑Rate [%]</t>
  </si>
  <si>
    <t>eqn.ab.bdrate-img-geom</t>
  </si>
  <si>
    <t>col.C1 lossy AI.eqn.ab.bdrate-img-geom</t>
  </si>
  <si>
    <t>eqn.ab.bdrate-img-y</t>
  </si>
  <si>
    <t>col.C1 lossy AI.eqn.ab.bdrate-img-y</t>
  </si>
  <si>
    <t>C1_ai — lossy geometry, lossy attributes [all intra]</t>
  </si>
  <si>
    <t>name.A.C1 lossy AI</t>
  </si>
  <si>
    <t>'C1 lossy AI'!$J$1</t>
  </si>
  <si>
    <t>name.B.C1 lossy AI</t>
  </si>
  <si>
    <t>'C1 lossy AI'!$X$1</t>
  </si>
  <si>
    <t>r01</t>
  </si>
  <si>
    <t>r02</t>
  </si>
  <si>
    <t>r03</t>
  </si>
  <si>
    <t>r04</t>
  </si>
  <si>
    <t>r05</t>
  </si>
  <si>
    <t>range.C1 lossy AI.longdress_voxelised</t>
  </si>
  <si>
    <t>'C1 lossy AI'!$A$5:$AR$9</t>
  </si>
  <si>
    <t>range.C1 lossy AI.soldier_voxelised</t>
  </si>
  <si>
    <t>'C1 lossy AI'!$A$10:$AR$14</t>
  </si>
  <si>
    <t>range.C1 lossy AI.basketball_player_voxelised</t>
  </si>
  <si>
    <t>'C1 lossy AI'!$A$15:$AR$19</t>
  </si>
  <si>
    <t>range.C1 lossy AI.dancer_voxelised</t>
  </si>
  <si>
    <t>'C1 lossy AI'!$A$20:$AR$24</t>
  </si>
  <si>
    <t>range.C1 lossy AI.football_voxelised</t>
  </si>
  <si>
    <t>'C1 lossy AI'!$A$25:$AR$29</t>
  </si>
  <si>
    <t>range.C1 lossy AI.levi_voxelised</t>
  </si>
  <si>
    <t>'C1 lossy AI'!$A$30:$AR$34</t>
  </si>
  <si>
    <t>range.C1 lossy AI.mitch_voxelised</t>
  </si>
  <si>
    <t>'C1 lossy AI'!$A$35:$AR$39</t>
  </si>
  <si>
    <t>range.C1 lossy AI.thomas_voxelised</t>
  </si>
  <si>
    <t>'C1 lossy AI'!$A$40:$AR$44</t>
  </si>
  <si>
    <t>C1_ai</t>
  </si>
  <si>
    <t>lossy geometry, lossy attributes [all intra]</t>
  </si>
  <si>
    <t>C1 lossy AI</t>
  </si>
  <si>
    <t>cols.C1 lossy AI</t>
  </si>
  <si>
    <t>names!$B$79:$N$79</t>
  </si>
  <si>
    <t>col.C2 lossy RA.class</t>
  </si>
  <si>
    <t>col.C2 lossy RA.sequence</t>
  </si>
  <si>
    <t>col.C2 lossy RA.variant</t>
  </si>
  <si>
    <t>col.C2 lossy RA.src.numfaces</t>
  </si>
  <si>
    <t>col.C2 lossy RA.src.geometry-precision</t>
  </si>
  <si>
    <t>col.C2 lossy RA.src.framecount</t>
  </si>
  <si>
    <t>col.C2 lossy RA.src.framerate</t>
  </si>
  <si>
    <t>col.C2 lossy RA.ctc.targetrate</t>
  </si>
  <si>
    <t>col.C2 lossy RA.A.eqn.bitrate</t>
  </si>
  <si>
    <t>col.C2 lossy RA.A.eqn.bpf</t>
  </si>
  <si>
    <t>col.C2 lossy RA.A.dec.numfaces</t>
  </si>
  <si>
    <t>col.C2 lossy RA.A.enc.ext.bits</t>
  </si>
  <si>
    <t>col.C2 lossy RA.A.dec.pc-d1-psnr</t>
  </si>
  <si>
    <t>col.C2 lossy RA.A.dec.pc-d2-psnr</t>
  </si>
  <si>
    <t>col.C2 lossy RA.A.dec.pc-y-psnr</t>
  </si>
  <si>
    <t>col.C2 lossy RA.A.dec.pc-cb-psnr</t>
  </si>
  <si>
    <t>col.C2 lossy RA.A.dec.pc-cr-psnr</t>
  </si>
  <si>
    <t>col.C2 lossy RA.A.dec.img-geom-psnr</t>
  </si>
  <si>
    <t>col.C2 lossy RA.A.dec.img-y-psnr</t>
  </si>
  <si>
    <t>col.C2 lossy RA.A.enc.utime</t>
  </si>
  <si>
    <t>col.C2 lossy RA.A.dec.utime</t>
  </si>
  <si>
    <t>col.C2 lossy RA.B.eqn.bitrate</t>
  </si>
  <si>
    <t>col.C2 lossy RA.B.eqn.bpf</t>
  </si>
  <si>
    <t>col.C2 lossy RA.B.dec.numfaces</t>
  </si>
  <si>
    <t>col.C2 lossy RA.B.enc.ext.bits</t>
  </si>
  <si>
    <t>col.C2 lossy RA.B.dec.pc-d1-psnr</t>
  </si>
  <si>
    <t>col.C2 lossy RA.B.dec.pc-d2-psnr</t>
  </si>
  <si>
    <t>col.C2 lossy RA.B.dec.pc-y-psnr</t>
  </si>
  <si>
    <t>col.C2 lossy RA.B.dec.pc-cb-psnr</t>
  </si>
  <si>
    <t>col.C2 lossy RA.B.dec.pc-cr-psnr</t>
  </si>
  <si>
    <t>col.C2 lossy RA.B.dec.img-geom-psnr</t>
  </si>
  <si>
    <t>col.C2 lossy RA.B.dec.img-y-psnr</t>
  </si>
  <si>
    <t>col.C2 lossy RA.B.enc.utime</t>
  </si>
  <si>
    <t>col.C2 lossy RA.B.dec.utime</t>
  </si>
  <si>
    <t>col.C2 lossy RA.eqn.ab.bdrate-pc-d1</t>
  </si>
  <si>
    <t>col.C2 lossy RA.eqn.ab.bdrate-pc-d2</t>
  </si>
  <si>
    <t>col.C2 lossy RA.eqn.ab.bdrate-pc-y</t>
  </si>
  <si>
    <t>col.C2 lossy RA.eqn.ab.bdrate-pc-cb</t>
  </si>
  <si>
    <t>col.C2 lossy RA.eqn.ab.bdrate-pc-cr</t>
  </si>
  <si>
    <t>col.C2 lossy RA.eqn.ab.bdrate-img-geom</t>
  </si>
  <si>
    <t>col.C2 lossy RA.eqn.ab.bdrate-img-y</t>
  </si>
  <si>
    <t>C2_ra — lossy geometry, lossy attributes [inter, random access]</t>
  </si>
  <si>
    <t>name.A.C2 lossy RA</t>
  </si>
  <si>
    <t>'C2 lossy RA'!$J$1</t>
  </si>
  <si>
    <t>name.B.C2 lossy RA</t>
  </si>
  <si>
    <t>'C2 lossy RA'!$X$1</t>
  </si>
  <si>
    <t>range.C2 lossy RA.longdress_voxelised</t>
  </si>
  <si>
    <t>'C2 lossy RA'!$A$5:$AR$9</t>
  </si>
  <si>
    <t>range.C2 lossy RA.soldier_voxelised</t>
  </si>
  <si>
    <t>'C2 lossy RA'!$A$10:$AR$14</t>
  </si>
  <si>
    <t>range.C2 lossy RA.basketball_player_voxelised</t>
  </si>
  <si>
    <t>'C2 lossy RA'!$A$15:$AR$19</t>
  </si>
  <si>
    <t>range.C2 lossy RA.dancer_voxelised</t>
  </si>
  <si>
    <t>'C2 lossy RA'!$A$20:$AR$24</t>
  </si>
  <si>
    <t>range.C2 lossy RA.football_voxelised</t>
  </si>
  <si>
    <t>'C2 lossy RA'!$A$25:$AR$29</t>
  </si>
  <si>
    <t>range.C2 lossy RA.levi_voxelised</t>
  </si>
  <si>
    <t>'C2 lossy RA'!$A$30:$AR$34</t>
  </si>
  <si>
    <t>range.C2 lossy RA.mitch_voxelised</t>
  </si>
  <si>
    <t>'C2 lossy RA'!$A$35:$AR$39</t>
  </si>
  <si>
    <t>range.C2 lossy RA.thomas_voxelised</t>
  </si>
  <si>
    <t>'C2 lossy RA'!$A$40:$AR$44</t>
  </si>
  <si>
    <t>Inter, Random Access</t>
  </si>
  <si>
    <t>C2_ra</t>
  </si>
  <si>
    <t>lossy geometry, lossy attributes [inter, random access]</t>
  </si>
  <si>
    <t>C2 lossy RA</t>
  </si>
  <si>
    <t>cols.C2 lossy RA</t>
  </si>
  <si>
    <t>names!$B$131:$N$131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</si>
</sst>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0" fontId="1" fillId="4" borderId="3" xfId="0" applyFont="1" applyFill="1" applyBorder="1" applyAlignment="1">
      <alignment horizontal="center" vertical="center" wrapText="1"/>
    </xf>
    <xf numFmtId="0" fontId="0" fillId="0" borderId="0" xfId="0"/>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9" fontId="0" fillId="0" borderId="0" xfId="0" applyNumberFormat="1" applyAlignment="1">
      <alignment horizontal="center"/>
    </xf>
    <xf numFmtId="0" fontId="0" fillId="0" borderId="3" xfId="0" applyBorder="1"/>
    <xf numFmtId="9" fontId="0" fillId="0" borderId="3" xfId="0" applyNumberFormat="1" applyBorder="1" applyAlignment="1">
      <alignment horizontal="center"/>
    </xf>
    <xf numFmtId="0" fontId="1" fillId="5" borderId="3" xfId="0" applyFont="1" applyFill="1" applyBorder="1" applyAlignment="1">
      <alignment horizontal="center" vertical="center" wrapText="1"/>
    </xf>
    <xf numFmtId="0" fontId="0" fillId="6" borderId="0" xfId="0" applyFill="1"/>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1" fontId="0" fillId="8" borderId="0" xfId="0" applyNumberFormat="1" applyFill="1" applyAlignment="1">
      <alignment horizontal="center"/>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1"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0" fontId="0" fillId="10" borderId="3" xfId="0" applyFill="1" applyBorder="1"/>
    <xf numFmtId="1" fontId="0" fillId="10" borderId="3" xfId="0" applyNumberFormat="1" applyFill="1" applyBorder="1" applyAlignment="1">
      <alignment horizontal="center"/>
    </xf>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1"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0" fontId="0" fillId="10" borderId="0" xfId="0" applyFill="1"/>
    <xf numFmtId="1" fontId="0" fillId="10" borderId="0" xfId="0" applyNumberFormat="1" applyFill="1" applyAlignment="1">
      <alignment horizontal="center"/>
    </xf>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1"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0" fillId="9" borderId="0" xfId="0" applyFill="1"/>
    <xf numFmtId="2" fontId="0" fillId="9" borderId="0" xfId="0" applyNumberFormat="1" applyFill="1" applyAlignment="1">
      <alignment horizontal="center"/>
    </xf>
    <xf numFmtId="0" fontId="0" fillId="11" borderId="0" xfId="0" applyFill="1"/>
    <xf numFmtId="2" fontId="0" fillId="11"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 fontId="0" fillId="8" borderId="3" xfId="0" applyNumberFormat="1"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1" fontId="0" fillId="9" borderId="3" xfId="0" applyNumberFormat="1"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0" fontId="0" fillId="11" borderId="3" xfId="0" applyFill="1" applyBorder="1"/>
    <xf numFmtId="2" fontId="0" fillId="11" borderId="3" xfId="0" applyNumberFormat="1" applyFill="1" applyBorder="1" applyAlignment="1">
      <alignment horizontal="center"/>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7" borderId="0" xfId="0" applyFont="1" applyFill="1" applyAlignment="1">
      <alignment horizontal="left" vertical="top"/>
    </xf>
    <xf numFmtId="0" fontId="1" fillId="5" borderId="0" xfId="0" applyFont="1" applyFill="1" applyAlignment="1">
      <alignment horizontal="center" wrapText="1"/>
    </xf>
    <xf numFmtId="0" fontId="1" fillId="4" borderId="0" xfId="0" applyFont="1" applyFill="1" applyAlignment="1">
      <alignment horizontal="center" wrapText="1"/>
    </xf>
  </cellXfs>
  <cellStyles count="1">
    <cellStyle name="Normal" xfId="0" builtinId="0"/>
  </cellStyles>
  <dxfs count="66">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Graphs!graph_a_title</c:f>
          <c:strCache>
            <c:ptCount val="1"/>
            <c:pt idx="0">
              <c:v>D1 Pointcloud-based PSNR [dB]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anchor</c:v>
                </c:pt>
              </c:strCache>
            </c:strRef>
          </c:tx>
          <c:spPr>
            <a:ln w="28575"/>
          </c:spPr>
          <c:xVal>
            <c:strRef>
              <c:f>Graphs!graph_a_x_range_A</c:f>
              <c:strCache>
                <c:ptCount val="5"/>
                <c:pt idx="0">
                  <c:v>·</c:v>
                </c:pt>
                <c:pt idx="1">
                  <c:v>·</c:v>
                </c:pt>
                <c:pt idx="2">
                  <c:v>·</c:v>
                </c:pt>
                <c:pt idx="3">
                  <c:v>·</c:v>
                </c:pt>
                <c:pt idx="4">
                  <c:v>·</c:v>
                </c:pt>
              </c:strCache>
            </c:strRef>
          </c:xVal>
          <c:yVal>
            <c:numRef>
              <c:f>Graphs!graph_a_y_range_A</c:f>
              <c:numCache>
                <c:formatCode>0.00</c:formatCode>
                <c:ptCount val="5"/>
              </c:numCache>
            </c:numRef>
          </c:yVal>
          <c:smooth val="1"/>
          <c:extLst>
            <c:ext xmlns:c16="http://schemas.microsoft.com/office/drawing/2014/chart" uri="{C3380CC4-5D6E-409C-BE32-E72D297353CC}">
              <c16:uniqueId val="{00000000-3D43-416B-BC1F-367549F76EAE}"/>
            </c:ext>
          </c:extLst>
        </c:ser>
        <c:ser>
          <c:idx val="1"/>
          <c:order val="1"/>
          <c:tx>
            <c:strRef>
              <c:f>Graphs!graph_a_B_title</c:f>
              <c:strCache>
                <c:ptCount val="1"/>
                <c:pt idx="0">
                  <c:v>proposal</c:v>
                </c:pt>
              </c:strCache>
            </c:strRef>
          </c:tx>
          <c:spPr>
            <a:ln w="28575"/>
          </c:spP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3D43-416B-BC1F-367549F76EAE}"/>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majorGridlines>
          <c:spPr>
            <a:ln>
              <a:solidFill>
                <a:srgbClr val="DFDFDF"/>
              </a:solidFill>
            </a:ln>
          </c:spPr>
        </c:majorGridlines>
        <c:title>
          <c:tx>
            <c:strRef>
              <c:f>Graphs!graph_a_x_title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10002"/>
        <c:crosses val="autoZero"/>
        <c:crossBetween val="midCat"/>
      </c:valAx>
      <c:valAx>
        <c:axId val="50010002"/>
        <c:scaling>
          <c:orientation val="minMax"/>
        </c:scaling>
        <c:delete val="0"/>
        <c:axPos val="l"/>
        <c:majorGridlines>
          <c:spPr>
            <a:ln>
              <a:solidFill>
                <a:srgbClr val="DFDFDF"/>
              </a:solidFill>
            </a:ln>
          </c:spPr>
        </c:majorGridlines>
        <c:title>
          <c:tx>
            <c:strRef>
              <c:f>Graphs!graph_a_y_title</c:f>
              <c:strCache>
                <c:ptCount val="1"/>
                <c:pt idx="0">
                  <c:v>D1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spPr>
        <a:noFill/>
      </c:spPr>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Graphs!graph_b_title</c:f>
          <c:strCache>
            <c:ptCount val="1"/>
            <c:pt idx="0">
              <c:v>D2 Pointcloud-based PSNR [dB]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anchor</c:v>
                </c:pt>
              </c:strCache>
            </c:strRef>
          </c:tx>
          <c:spPr>
            <a:ln w="28575"/>
          </c:spPr>
          <c:xVal>
            <c:strRef>
              <c:f>Graphs!graph_b_x_range_A</c:f>
              <c:strCache>
                <c:ptCount val="5"/>
                <c:pt idx="0">
                  <c:v>·</c:v>
                </c:pt>
                <c:pt idx="1">
                  <c:v>·</c:v>
                </c:pt>
                <c:pt idx="2">
                  <c:v>·</c:v>
                </c:pt>
                <c:pt idx="3">
                  <c:v>·</c:v>
                </c:pt>
                <c:pt idx="4">
                  <c:v>·</c:v>
                </c:pt>
              </c:strCache>
            </c:strRef>
          </c:xVal>
          <c:yVal>
            <c:numRef>
              <c:f>Graphs!graph_b_y_range_A</c:f>
              <c:numCache>
                <c:formatCode>0.00</c:formatCode>
                <c:ptCount val="5"/>
              </c:numCache>
            </c:numRef>
          </c:yVal>
          <c:smooth val="1"/>
          <c:extLst>
            <c:ext xmlns:c16="http://schemas.microsoft.com/office/drawing/2014/chart" uri="{C3380CC4-5D6E-409C-BE32-E72D297353CC}">
              <c16:uniqueId val="{00000000-39D8-4EEC-8857-430191E305CF}"/>
            </c:ext>
          </c:extLst>
        </c:ser>
        <c:ser>
          <c:idx val="1"/>
          <c:order val="1"/>
          <c:tx>
            <c:strRef>
              <c:f>Graphs!graph_b_B_title</c:f>
              <c:strCache>
                <c:ptCount val="1"/>
                <c:pt idx="0">
                  <c:v>proposal</c:v>
                </c:pt>
              </c:strCache>
            </c:strRef>
          </c:tx>
          <c:spPr>
            <a:ln w="28575"/>
          </c:spP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39D8-4EEC-8857-430191E305CF}"/>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majorGridlines>
          <c:spPr>
            <a:ln>
              <a:solidFill>
                <a:srgbClr val="DFDFDF"/>
              </a:solidFill>
            </a:ln>
          </c:spPr>
        </c:majorGridlines>
        <c:title>
          <c:tx>
            <c:strRef>
              <c:f>Graphs!graph_b_x_title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20002"/>
        <c:crosses val="autoZero"/>
        <c:crossBetween val="midCat"/>
      </c:valAx>
      <c:valAx>
        <c:axId val="50020002"/>
        <c:scaling>
          <c:orientation val="minMax"/>
        </c:scaling>
        <c:delete val="0"/>
        <c:axPos val="l"/>
        <c:majorGridlines>
          <c:spPr>
            <a:ln>
              <a:solidFill>
                <a:srgbClr val="DFDFDF"/>
              </a:solidFill>
            </a:ln>
          </c:spPr>
        </c:majorGridlines>
        <c:title>
          <c:tx>
            <c:strRef>
              <c:f>Graphs!graph_b_y_title</c:f>
              <c:strCache>
                <c:ptCount val="1"/>
                <c:pt idx="0">
                  <c:v>D2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spPr>
        <a:noFill/>
      </c:spPr>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Graphs!graph_c_title</c:f>
          <c:strCache>
            <c:ptCount val="1"/>
            <c:pt idx="0">
              <c:v>Geom Image-based PSNR [dB]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anchor</c:v>
                </c:pt>
              </c:strCache>
            </c:strRef>
          </c:tx>
          <c:spPr>
            <a:ln w="28575"/>
          </c:spPr>
          <c:xVal>
            <c:strRef>
              <c:f>Graphs!graph_c_x_range_A</c:f>
              <c:strCache>
                <c:ptCount val="5"/>
                <c:pt idx="0">
                  <c:v>·</c:v>
                </c:pt>
                <c:pt idx="1">
                  <c:v>·</c:v>
                </c:pt>
                <c:pt idx="2">
                  <c:v>·</c:v>
                </c:pt>
                <c:pt idx="3">
                  <c:v>·</c:v>
                </c:pt>
                <c:pt idx="4">
                  <c:v>·</c:v>
                </c:pt>
              </c:strCache>
            </c:strRef>
          </c:xVal>
          <c:yVal>
            <c:numRef>
              <c:f>Graphs!graph_c_y_range_A</c:f>
              <c:numCache>
                <c:formatCode>0.00</c:formatCode>
                <c:ptCount val="5"/>
              </c:numCache>
            </c:numRef>
          </c:yVal>
          <c:smooth val="1"/>
          <c:extLst>
            <c:ext xmlns:c16="http://schemas.microsoft.com/office/drawing/2014/chart" uri="{C3380CC4-5D6E-409C-BE32-E72D297353CC}">
              <c16:uniqueId val="{00000000-57A8-40A5-B6C1-80A1A861C272}"/>
            </c:ext>
          </c:extLst>
        </c:ser>
        <c:ser>
          <c:idx val="1"/>
          <c:order val="1"/>
          <c:tx>
            <c:strRef>
              <c:f>Graphs!graph_c_B_title</c:f>
              <c:strCache>
                <c:ptCount val="1"/>
                <c:pt idx="0">
                  <c:v>proposal</c:v>
                </c:pt>
              </c:strCache>
            </c:strRef>
          </c:tx>
          <c:spPr>
            <a:ln w="28575"/>
          </c:spP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57A8-40A5-B6C1-80A1A861C272}"/>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majorGridlines>
          <c:spPr>
            <a:ln>
              <a:solidFill>
                <a:srgbClr val="DFDFDF"/>
              </a:solidFill>
            </a:ln>
          </c:spPr>
        </c:majorGridlines>
        <c:title>
          <c:tx>
            <c:strRef>
              <c:f>Graphs!graph_c_x_title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30002"/>
        <c:crosses val="autoZero"/>
        <c:crossBetween val="midCat"/>
      </c:valAx>
      <c:valAx>
        <c:axId val="50030002"/>
        <c:scaling>
          <c:orientation val="minMax"/>
        </c:scaling>
        <c:delete val="0"/>
        <c:axPos val="l"/>
        <c:majorGridlines>
          <c:spPr>
            <a:ln>
              <a:solidFill>
                <a:srgbClr val="DFDFDF"/>
              </a:solidFill>
            </a:ln>
          </c:spPr>
        </c:majorGridlines>
        <c:title>
          <c:tx>
            <c:strRef>
              <c:f>Graphs!graph_c_y_title</c:f>
              <c:strCache>
                <c:ptCount val="1"/>
                <c:pt idx="0">
                  <c:v>Geom Image-based PSNR [dB]</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spPr>
        <a:noFill/>
      </c:spPr>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Graphs!graph_d_title</c:f>
          <c:strCache>
            <c:ptCount val="1"/>
            <c:pt idx="0">
              <c:v>Luma Pointcloud-based PSNR [dB]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anchor</c:v>
                </c:pt>
              </c:strCache>
            </c:strRef>
          </c:tx>
          <c:spPr>
            <a:ln w="28575"/>
          </c:spPr>
          <c:xVal>
            <c:strRef>
              <c:f>Graphs!graph_d_x_range_A</c:f>
              <c:strCache>
                <c:ptCount val="5"/>
                <c:pt idx="0">
                  <c:v>·</c:v>
                </c:pt>
                <c:pt idx="1">
                  <c:v>·</c:v>
                </c:pt>
                <c:pt idx="2">
                  <c:v>·</c:v>
                </c:pt>
                <c:pt idx="3">
                  <c:v>·</c:v>
                </c:pt>
                <c:pt idx="4">
                  <c:v>·</c:v>
                </c:pt>
              </c:strCache>
            </c:strRef>
          </c:xVal>
          <c:yVal>
            <c:numRef>
              <c:f>Graphs!graph_d_y_range_A</c:f>
              <c:numCache>
                <c:formatCode>0.00</c:formatCode>
                <c:ptCount val="5"/>
              </c:numCache>
            </c:numRef>
          </c:yVal>
          <c:smooth val="1"/>
          <c:extLst>
            <c:ext xmlns:c16="http://schemas.microsoft.com/office/drawing/2014/chart" uri="{C3380CC4-5D6E-409C-BE32-E72D297353CC}">
              <c16:uniqueId val="{00000000-FACF-41A2-A1BA-FD5444E9465F}"/>
            </c:ext>
          </c:extLst>
        </c:ser>
        <c:ser>
          <c:idx val="1"/>
          <c:order val="1"/>
          <c:tx>
            <c:strRef>
              <c:f>Graphs!graph_d_B_title</c:f>
              <c:strCache>
                <c:ptCount val="1"/>
                <c:pt idx="0">
                  <c:v>proposal</c:v>
                </c:pt>
              </c:strCache>
            </c:strRef>
          </c:tx>
          <c:spPr>
            <a:ln w="28575"/>
          </c:spP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FACF-41A2-A1BA-FD5444E9465F}"/>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majorGridlines>
          <c:spPr>
            <a:ln>
              <a:solidFill>
                <a:srgbClr val="DFDFDF"/>
              </a:solidFill>
            </a:ln>
          </c:spPr>
        </c:majorGridlines>
        <c:title>
          <c:tx>
            <c:strRef>
              <c:f>Graphs!graph_d_x_title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40002"/>
        <c:crosses val="autoZero"/>
        <c:crossBetween val="midCat"/>
      </c:valAx>
      <c:valAx>
        <c:axId val="50040002"/>
        <c:scaling>
          <c:orientation val="minMax"/>
        </c:scaling>
        <c:delete val="0"/>
        <c:axPos val="l"/>
        <c:majorGridlines>
          <c:spPr>
            <a:ln>
              <a:solidFill>
                <a:srgbClr val="DFDFDF"/>
              </a:solidFill>
            </a:ln>
          </c:spPr>
        </c:majorGridlines>
        <c:title>
          <c:tx>
            <c:strRef>
              <c:f>Graphs!graph_d_y_title</c:f>
              <c:strCache>
                <c:ptCount val="1"/>
                <c:pt idx="0">
                  <c:v>Luma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spPr>
        <a:noFill/>
      </c:spPr>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Graphs!graph_e_title</c:f>
          <c:strCache>
            <c:ptCount val="1"/>
            <c:pt idx="0">
              <c:v>Chroma Cb Pointcloud-based PSNR [dB]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anchor</c:v>
                </c:pt>
              </c:strCache>
            </c:strRef>
          </c:tx>
          <c:spPr>
            <a:ln w="28575"/>
          </c:spPr>
          <c:xVal>
            <c:strRef>
              <c:f>Graphs!graph_e_x_range_A</c:f>
              <c:strCache>
                <c:ptCount val="5"/>
                <c:pt idx="0">
                  <c:v>·</c:v>
                </c:pt>
                <c:pt idx="1">
                  <c:v>·</c:v>
                </c:pt>
                <c:pt idx="2">
                  <c:v>·</c:v>
                </c:pt>
                <c:pt idx="3">
                  <c:v>·</c:v>
                </c:pt>
                <c:pt idx="4">
                  <c:v>·</c:v>
                </c:pt>
              </c:strCache>
            </c:strRef>
          </c:xVal>
          <c:yVal>
            <c:numRef>
              <c:f>Graphs!graph_e_y_range_A</c:f>
              <c:numCache>
                <c:formatCode>0.00</c:formatCode>
                <c:ptCount val="5"/>
              </c:numCache>
            </c:numRef>
          </c:yVal>
          <c:smooth val="1"/>
          <c:extLst>
            <c:ext xmlns:c16="http://schemas.microsoft.com/office/drawing/2014/chart" uri="{C3380CC4-5D6E-409C-BE32-E72D297353CC}">
              <c16:uniqueId val="{00000000-3C66-4E32-8199-7D1C0DD6C3F5}"/>
            </c:ext>
          </c:extLst>
        </c:ser>
        <c:ser>
          <c:idx val="1"/>
          <c:order val="1"/>
          <c:tx>
            <c:strRef>
              <c:f>Graphs!graph_e_B_title</c:f>
              <c:strCache>
                <c:ptCount val="1"/>
                <c:pt idx="0">
                  <c:v>proposal</c:v>
                </c:pt>
              </c:strCache>
            </c:strRef>
          </c:tx>
          <c:spPr>
            <a:ln w="28575"/>
          </c:spP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3C66-4E32-8199-7D1C0DD6C3F5}"/>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majorGridlines>
          <c:spPr>
            <a:ln>
              <a:solidFill>
                <a:srgbClr val="DFDFDF"/>
              </a:solidFill>
            </a:ln>
          </c:spPr>
        </c:majorGridlines>
        <c:title>
          <c:tx>
            <c:strRef>
              <c:f>Graphs!graph_e_x_title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50002"/>
        <c:crosses val="autoZero"/>
        <c:crossBetween val="midCat"/>
      </c:valAx>
      <c:valAx>
        <c:axId val="50050002"/>
        <c:scaling>
          <c:orientation val="minMax"/>
        </c:scaling>
        <c:delete val="0"/>
        <c:axPos val="l"/>
        <c:majorGridlines>
          <c:spPr>
            <a:ln>
              <a:solidFill>
                <a:srgbClr val="DFDFDF"/>
              </a:solidFill>
            </a:ln>
          </c:spPr>
        </c:majorGridlines>
        <c:title>
          <c:tx>
            <c:strRef>
              <c:f>Graphs!graph_e_y_title</c:f>
              <c:strCache>
                <c:ptCount val="1"/>
                <c:pt idx="0">
                  <c:v>Chroma Cb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spPr>
        <a:noFill/>
      </c:spPr>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Graphs!graph_f_title</c:f>
          <c:strCache>
            <c:ptCount val="1"/>
            <c:pt idx="0">
              <c:v>Chroma Cr Pointcloud-based PSNR [dB]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anchor</c:v>
                </c:pt>
              </c:strCache>
            </c:strRef>
          </c:tx>
          <c:spPr>
            <a:ln w="28575"/>
          </c:spPr>
          <c:xVal>
            <c:strRef>
              <c:f>Graphs!graph_f_x_range_A</c:f>
              <c:strCache>
                <c:ptCount val="5"/>
                <c:pt idx="0">
                  <c:v>·</c:v>
                </c:pt>
                <c:pt idx="1">
                  <c:v>·</c:v>
                </c:pt>
                <c:pt idx="2">
                  <c:v>·</c:v>
                </c:pt>
                <c:pt idx="3">
                  <c:v>·</c:v>
                </c:pt>
                <c:pt idx="4">
                  <c:v>·</c:v>
                </c:pt>
              </c:strCache>
            </c:strRef>
          </c:xVal>
          <c:yVal>
            <c:numRef>
              <c:f>Graphs!graph_f_y_range_A</c:f>
              <c:numCache>
                <c:formatCode>0.00</c:formatCode>
                <c:ptCount val="5"/>
              </c:numCache>
            </c:numRef>
          </c:yVal>
          <c:smooth val="1"/>
          <c:extLst>
            <c:ext xmlns:c16="http://schemas.microsoft.com/office/drawing/2014/chart" uri="{C3380CC4-5D6E-409C-BE32-E72D297353CC}">
              <c16:uniqueId val="{00000000-BEB4-4528-954E-B14380730D93}"/>
            </c:ext>
          </c:extLst>
        </c:ser>
        <c:ser>
          <c:idx val="1"/>
          <c:order val="1"/>
          <c:tx>
            <c:strRef>
              <c:f>Graphs!graph_f_B_title</c:f>
              <c:strCache>
                <c:ptCount val="1"/>
                <c:pt idx="0">
                  <c:v>proposal</c:v>
                </c:pt>
              </c:strCache>
            </c:strRef>
          </c:tx>
          <c:spPr>
            <a:ln w="28575"/>
          </c:spPr>
          <c:xVal>
            <c:strRef>
              <c:f>Graphs!graph_f_x_range_B</c:f>
              <c:strCache>
                <c:ptCount val="5"/>
                <c:pt idx="0">
                  <c:v>·</c:v>
                </c:pt>
                <c:pt idx="1">
                  <c:v>·</c:v>
                </c:pt>
                <c:pt idx="2">
                  <c:v>·</c:v>
                </c:pt>
                <c:pt idx="3">
                  <c:v>·</c:v>
                </c:pt>
                <c:pt idx="4">
                  <c:v>·</c:v>
                </c:pt>
              </c:strCache>
            </c:strRef>
          </c:xVal>
          <c:yVal>
            <c:numRef>
              <c:f>Graphs!graph_f_y_range_B</c:f>
              <c:numCache>
                <c:formatCode>0.00</c:formatCode>
                <c:ptCount val="5"/>
              </c:numCache>
            </c:numRef>
          </c:yVal>
          <c:smooth val="1"/>
          <c:extLst>
            <c:ext xmlns:c16="http://schemas.microsoft.com/office/drawing/2014/chart" uri="{C3380CC4-5D6E-409C-BE32-E72D297353CC}">
              <c16:uniqueId val="{00000001-BEB4-4528-954E-B14380730D93}"/>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majorGridlines>
          <c:spPr>
            <a:ln>
              <a:solidFill>
                <a:srgbClr val="DFDFDF"/>
              </a:solidFill>
            </a:ln>
          </c:spPr>
        </c:majorGridlines>
        <c:title>
          <c:tx>
            <c:strRef>
              <c:f>Graphs!graph_f_x_title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60002"/>
        <c:crosses val="autoZero"/>
        <c:crossBetween val="midCat"/>
      </c:valAx>
      <c:valAx>
        <c:axId val="50060002"/>
        <c:scaling>
          <c:orientation val="minMax"/>
        </c:scaling>
        <c:delete val="0"/>
        <c:axPos val="l"/>
        <c:majorGridlines>
          <c:spPr>
            <a:ln>
              <a:solidFill>
                <a:srgbClr val="DFDFDF"/>
              </a:solidFill>
            </a:ln>
          </c:spPr>
        </c:majorGridlines>
        <c:title>
          <c:tx>
            <c:strRef>
              <c:f>Graphs!graph_f_y_title</c:f>
              <c:strCache>
                <c:ptCount val="1"/>
                <c:pt idx="0">
                  <c:v>Chroma Cr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60001"/>
        <c:crosses val="autoZero"/>
        <c:crossBetween val="midCat"/>
      </c:valAx>
      <c:spPr>
        <a:noFill/>
      </c:spPr>
    </c:plotArea>
    <c:legend>
      <c:legendPos val="b"/>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Graphs!graph_g_title</c:f>
          <c:strCache>
            <c:ptCount val="1"/>
            <c:pt idx="0">
              <c:v>Luma Image-based PSNR [dB] (Graph g)</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Graphs!graph_g_A_title</c:f>
              <c:strCache>
                <c:ptCount val="1"/>
                <c:pt idx="0">
                  <c:v>anchor</c:v>
                </c:pt>
              </c:strCache>
            </c:strRef>
          </c:tx>
          <c:spPr>
            <a:ln w="28575"/>
          </c:spPr>
          <c:xVal>
            <c:strRef>
              <c:f>Graphs!graph_g_x_range_A</c:f>
              <c:strCache>
                <c:ptCount val="5"/>
                <c:pt idx="0">
                  <c:v>·</c:v>
                </c:pt>
                <c:pt idx="1">
                  <c:v>·</c:v>
                </c:pt>
                <c:pt idx="2">
                  <c:v>·</c:v>
                </c:pt>
                <c:pt idx="3">
                  <c:v>·</c:v>
                </c:pt>
                <c:pt idx="4">
                  <c:v>·</c:v>
                </c:pt>
              </c:strCache>
            </c:strRef>
          </c:xVal>
          <c:yVal>
            <c:numRef>
              <c:f>Graphs!graph_g_y_range_A</c:f>
              <c:numCache>
                <c:formatCode>0.00</c:formatCode>
                <c:ptCount val="5"/>
              </c:numCache>
            </c:numRef>
          </c:yVal>
          <c:smooth val="1"/>
          <c:extLst>
            <c:ext xmlns:c16="http://schemas.microsoft.com/office/drawing/2014/chart" uri="{C3380CC4-5D6E-409C-BE32-E72D297353CC}">
              <c16:uniqueId val="{00000000-9FE9-42C1-8F6E-1C8B2FA022ED}"/>
            </c:ext>
          </c:extLst>
        </c:ser>
        <c:ser>
          <c:idx val="1"/>
          <c:order val="1"/>
          <c:tx>
            <c:strRef>
              <c:f>Graphs!graph_g_B_title</c:f>
              <c:strCache>
                <c:ptCount val="1"/>
                <c:pt idx="0">
                  <c:v>proposal</c:v>
                </c:pt>
              </c:strCache>
            </c:strRef>
          </c:tx>
          <c:spPr>
            <a:ln w="28575"/>
          </c:spPr>
          <c:xVal>
            <c:strRef>
              <c:f>Graphs!graph_g_x_range_B</c:f>
              <c:strCache>
                <c:ptCount val="5"/>
                <c:pt idx="0">
                  <c:v>·</c:v>
                </c:pt>
                <c:pt idx="1">
                  <c:v>·</c:v>
                </c:pt>
                <c:pt idx="2">
                  <c:v>·</c:v>
                </c:pt>
                <c:pt idx="3">
                  <c:v>·</c:v>
                </c:pt>
                <c:pt idx="4">
                  <c:v>·</c:v>
                </c:pt>
              </c:strCache>
            </c:strRef>
          </c:xVal>
          <c:yVal>
            <c:numRef>
              <c:f>Graphs!graph_g_y_range_B</c:f>
              <c:numCache>
                <c:formatCode>0.00</c:formatCode>
                <c:ptCount val="5"/>
              </c:numCache>
            </c:numRef>
          </c:yVal>
          <c:smooth val="1"/>
          <c:extLst>
            <c:ext xmlns:c16="http://schemas.microsoft.com/office/drawing/2014/chart" uri="{C3380CC4-5D6E-409C-BE32-E72D297353CC}">
              <c16:uniqueId val="{00000001-9FE9-42C1-8F6E-1C8B2FA022ED}"/>
            </c:ext>
          </c:extLst>
        </c:ser>
        <c:dLbls>
          <c:showLegendKey val="0"/>
          <c:showVal val="0"/>
          <c:showCatName val="0"/>
          <c:showSerName val="0"/>
          <c:showPercent val="0"/>
          <c:showBubbleSize val="0"/>
        </c:dLbls>
        <c:axId val="50070001"/>
        <c:axId val="50070002"/>
      </c:scatterChart>
      <c:valAx>
        <c:axId val="50070001"/>
        <c:scaling>
          <c:orientation val="minMax"/>
        </c:scaling>
        <c:delete val="0"/>
        <c:axPos val="b"/>
        <c:majorGridlines>
          <c:spPr>
            <a:ln>
              <a:solidFill>
                <a:srgbClr val="DFDFDF"/>
              </a:solidFill>
            </a:ln>
          </c:spPr>
        </c:majorGridlines>
        <c:title>
          <c:tx>
            <c:strRef>
              <c:f>Graphs!graph_g_x_title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70002"/>
        <c:crosses val="autoZero"/>
        <c:crossBetween val="midCat"/>
      </c:valAx>
      <c:valAx>
        <c:axId val="50070002"/>
        <c:scaling>
          <c:orientation val="minMax"/>
        </c:scaling>
        <c:delete val="0"/>
        <c:axPos val="l"/>
        <c:majorGridlines>
          <c:spPr>
            <a:ln>
              <a:solidFill>
                <a:srgbClr val="DFDFDF"/>
              </a:solidFill>
            </a:ln>
          </c:spPr>
        </c:majorGridlines>
        <c:title>
          <c:tx>
            <c:strRef>
              <c:f>Graphs!graph_g_y_title</c:f>
              <c:strCache>
                <c:ptCount val="1"/>
                <c:pt idx="0">
                  <c:v>Luma Image-based PSNR [dB]</c:v>
                </c:pt>
              </c:strCache>
            </c:strRef>
          </c:tx>
          <c:overlay val="0"/>
          <c:txPr>
            <a:bodyPr rot="-5400000" vert="horz"/>
            <a:lstStyle/>
            <a:p>
              <a:pPr>
                <a:defRPr/>
              </a:pPr>
              <a:endParaRPr lang="en-US"/>
            </a:p>
          </c:txPr>
        </c:title>
        <c:numFmt formatCode="0.00" sourceLinked="1"/>
        <c:majorTickMark val="out"/>
        <c:minorTickMark val="none"/>
        <c:tickLblPos val="nextTo"/>
        <c:crossAx val="50070001"/>
        <c:crosses val="autoZero"/>
        <c:crossBetween val="midCat"/>
      </c:valAx>
      <c:spPr>
        <a:noFill/>
      </c:spPr>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11</xdr:row>
      <xdr:rowOff>0</xdr:rowOff>
    </xdr:from>
    <xdr:to>
      <xdr:col>7</xdr:col>
      <xdr:colOff>276225</xdr:colOff>
      <xdr:row>32</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33</xdr:row>
      <xdr:rowOff>0</xdr:rowOff>
    </xdr:from>
    <xdr:to>
      <xdr:col>7</xdr:col>
      <xdr:colOff>276225</xdr:colOff>
      <xdr:row>54</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55</xdr:row>
      <xdr:rowOff>0</xdr:rowOff>
    </xdr:from>
    <xdr:to>
      <xdr:col>7</xdr:col>
      <xdr:colOff>276225</xdr:colOff>
      <xdr:row>76</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11</xdr:row>
      <xdr:rowOff>0</xdr:rowOff>
    </xdr:from>
    <xdr:to>
      <xdr:col>18</xdr:col>
      <xdr:colOff>257175</xdr:colOff>
      <xdr:row>32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0</xdr:colOff>
      <xdr:row>33</xdr:row>
      <xdr:rowOff>0</xdr:rowOff>
    </xdr:from>
    <xdr:to>
      <xdr:col>18</xdr:col>
      <xdr:colOff>257175</xdr:colOff>
      <xdr:row>54</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55</xdr:row>
      <xdr:rowOff>0</xdr:rowOff>
    </xdr:from>
    <xdr:to>
      <xdr:col>18</xdr:col>
      <xdr:colOff>257175</xdr:colOff>
      <xdr:row>76</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0</xdr:colOff>
      <xdr:row>11</xdr:row>
      <xdr:rowOff>0</xdr:rowOff>
    </xdr:from>
    <xdr:to>
      <xdr:col>30</xdr:col>
      <xdr:colOff>152400</xdr:colOff>
      <xdr:row>32</xdr:row>
      <xdr:rowOff>114300</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I36"/>
  <sheetViews>
    <sheetView tabSelected="1" workbookViewId="0">
      <selection activeCell="C2" sqref="C2:E2"/>
    </sheetView>
  </sheetViews>
  <sheetFormatPr defaultColWidth="9.140625" defaultRowHeight="15" x14ac:dyDescent="0.25"/>
  <cols>
    <col min="2" max="2" width="16.7109375" customWidth="1"/>
    <col min="3" max="9" width="24.7109375" customWidth="1"/>
  </cols>
  <sheetData>
    <row r="1" spans="2:9" x14ac:dyDescent="0.25">
      <c r="B1" t="s">
        <v>0</v>
      </c>
      <c r="C1" s="61" t="s">
        <v>2</v>
      </c>
      <c r="D1" s="61"/>
      <c r="E1" s="61"/>
    </row>
    <row r="2" spans="2:9" x14ac:dyDescent="0.25">
      <c r="B2" t="s">
        <v>1</v>
      </c>
      <c r="C2" s="62" t="s">
        <v>3</v>
      </c>
      <c r="D2" s="62"/>
      <c r="E2" s="62"/>
    </row>
    <row r="4" spans="2:9" s="1" customFormat="1" x14ac:dyDescent="0.25">
      <c r="B4" s="1" t="s">
        <v>194</v>
      </c>
    </row>
    <row r="6" spans="2:9" ht="45" x14ac:dyDescent="0.25">
      <c r="B6" s="63" t="s">
        <v>195</v>
      </c>
      <c r="C6" s="2" t="s">
        <v>196</v>
      </c>
    </row>
    <row r="7" spans="2:9" x14ac:dyDescent="0.25">
      <c r="B7" s="63"/>
      <c r="C7" s="3" t="s">
        <v>197</v>
      </c>
    </row>
    <row r="8" spans="2:9" x14ac:dyDescent="0.25">
      <c r="B8" s="63"/>
      <c r="C8" s="4" t="s">
        <v>198</v>
      </c>
    </row>
    <row r="9" spans="2:9" x14ac:dyDescent="0.25">
      <c r="B9" s="5" t="s">
        <v>187</v>
      </c>
      <c r="C9" s="6" t="e">
        <f>'C0 lossless AI'!T13</f>
        <v>#DIV/0!</v>
      </c>
    </row>
    <row r="10" spans="2:9" x14ac:dyDescent="0.25">
      <c r="B10" s="5" t="s">
        <v>188</v>
      </c>
      <c r="C10" s="6" t="e">
        <f>'C0 lossless AI'!T14</f>
        <v>#DIV/0!</v>
      </c>
    </row>
    <row r="11" spans="2:9" x14ac:dyDescent="0.25">
      <c r="B11" s="5" t="s">
        <v>189</v>
      </c>
      <c r="C11" s="6" t="e">
        <f>'C0 lossless AI'!T15</f>
        <v>#DIV/0!</v>
      </c>
    </row>
    <row r="12" spans="2:9" x14ac:dyDescent="0.25">
      <c r="B12" s="7" t="s">
        <v>190</v>
      </c>
      <c r="C12" s="8" t="e">
        <f>'C0 lossless AI'!T16</f>
        <v>#DIV/0!</v>
      </c>
    </row>
    <row r="13" spans="2:9" x14ac:dyDescent="0.25">
      <c r="B13" t="s">
        <v>199</v>
      </c>
      <c r="C13" s="9" t="e">
        <f>'C0 lossless AI'!Q18</f>
        <v>#DIV/0!</v>
      </c>
    </row>
    <row r="14" spans="2:9" x14ac:dyDescent="0.25">
      <c r="B14" s="10" t="s">
        <v>200</v>
      </c>
      <c r="C14" s="11" t="e">
        <f>'C0 lossless AI'!R18</f>
        <v>#DIV/0!</v>
      </c>
    </row>
    <row r="16" spans="2:9" x14ac:dyDescent="0.25">
      <c r="B16" s="63" t="s">
        <v>305</v>
      </c>
      <c r="C16" s="64" t="s">
        <v>306</v>
      </c>
      <c r="D16" s="64"/>
      <c r="E16" s="64"/>
      <c r="F16" s="64"/>
      <c r="G16" s="64"/>
      <c r="H16" s="64"/>
      <c r="I16" s="64"/>
    </row>
    <row r="17" spans="2:9" x14ac:dyDescent="0.25">
      <c r="B17" s="63"/>
      <c r="C17" s="65" t="s">
        <v>263</v>
      </c>
      <c r="D17" s="65"/>
      <c r="E17" s="65"/>
      <c r="F17" s="65"/>
      <c r="G17" s="65"/>
      <c r="H17" s="66" t="s">
        <v>274</v>
      </c>
      <c r="I17" s="66"/>
    </row>
    <row r="18" spans="2:9" x14ac:dyDescent="0.25">
      <c r="B18" s="63"/>
      <c r="C18" s="4" t="s">
        <v>219</v>
      </c>
      <c r="D18" s="4" t="s">
        <v>222</v>
      </c>
      <c r="E18" s="4" t="s">
        <v>225</v>
      </c>
      <c r="F18" s="4" t="s">
        <v>228</v>
      </c>
      <c r="G18" s="4" t="s">
        <v>231</v>
      </c>
      <c r="H18" s="12" t="s">
        <v>235</v>
      </c>
      <c r="I18" s="12" t="s">
        <v>225</v>
      </c>
    </row>
    <row r="19" spans="2:9" x14ac:dyDescent="0.25">
      <c r="B19" s="5" t="s">
        <v>187</v>
      </c>
      <c r="C19" s="6" t="e">
        <f>'C1 lossy AI'!$AL$45:$AL$45</f>
        <v>#DIV/0!</v>
      </c>
      <c r="D19" s="6" t="e">
        <f>'C1 lossy AI'!$AM$45:$AM$45</f>
        <v>#DIV/0!</v>
      </c>
      <c r="E19" s="6" t="e">
        <f>'C1 lossy AI'!$AN$45:$AN$45</f>
        <v>#DIV/0!</v>
      </c>
      <c r="F19" s="6" t="e">
        <f>'C1 lossy AI'!$AO$45:$AO$45</f>
        <v>#DIV/0!</v>
      </c>
      <c r="G19" s="6" t="e">
        <f>'C1 lossy AI'!$AP$45:$AP$45</f>
        <v>#DIV/0!</v>
      </c>
      <c r="H19" s="6" t="e">
        <f>'C1 lossy AI'!$AQ$45:$AQ$45</f>
        <v>#DIV/0!</v>
      </c>
      <c r="I19" s="6" t="e">
        <f>'C1 lossy AI'!$AR$45:$AR$45</f>
        <v>#DIV/0!</v>
      </c>
    </row>
    <row r="20" spans="2:9" x14ac:dyDescent="0.25">
      <c r="B20" s="5" t="s">
        <v>188</v>
      </c>
      <c r="C20" s="6" t="e">
        <f>'C1 lossy AI'!$AL$46:$AL$46</f>
        <v>#DIV/0!</v>
      </c>
      <c r="D20" s="6" t="e">
        <f>'C1 lossy AI'!$AM$46:$AM$46</f>
        <v>#DIV/0!</v>
      </c>
      <c r="E20" s="6" t="e">
        <f>'C1 lossy AI'!$AN$46:$AN$46</f>
        <v>#DIV/0!</v>
      </c>
      <c r="F20" s="6" t="e">
        <f>'C1 lossy AI'!$AO$46:$AO$46</f>
        <v>#DIV/0!</v>
      </c>
      <c r="G20" s="6" t="e">
        <f>'C1 lossy AI'!$AP$46:$AP$46</f>
        <v>#DIV/0!</v>
      </c>
      <c r="H20" s="6" t="e">
        <f>'C1 lossy AI'!$AQ$46:$AQ$46</f>
        <v>#DIV/0!</v>
      </c>
      <c r="I20" s="6" t="e">
        <f>'C1 lossy AI'!$AR$46:$AR$46</f>
        <v>#DIV/0!</v>
      </c>
    </row>
    <row r="21" spans="2:9" x14ac:dyDescent="0.25">
      <c r="B21" s="5" t="s">
        <v>189</v>
      </c>
      <c r="C21" s="6" t="e">
        <f>'C1 lossy AI'!$AL$47:$AL$47</f>
        <v>#DIV/0!</v>
      </c>
      <c r="D21" s="6" t="e">
        <f>'C1 lossy AI'!$AM$47:$AM$47</f>
        <v>#DIV/0!</v>
      </c>
      <c r="E21" s="6" t="e">
        <f>'C1 lossy AI'!$AN$47:$AN$47</f>
        <v>#DIV/0!</v>
      </c>
      <c r="F21" s="6" t="e">
        <f>'C1 lossy AI'!$AO$47:$AO$47</f>
        <v>#DIV/0!</v>
      </c>
      <c r="G21" s="6" t="e">
        <f>'C1 lossy AI'!$AP$47:$AP$47</f>
        <v>#DIV/0!</v>
      </c>
      <c r="H21" s="6" t="e">
        <f>'C1 lossy AI'!$AQ$47:$AQ$47</f>
        <v>#DIV/0!</v>
      </c>
      <c r="I21" s="6" t="e">
        <f>'C1 lossy AI'!$AR$47:$AR$47</f>
        <v>#DIV/0!</v>
      </c>
    </row>
    <row r="22" spans="2:9" x14ac:dyDescent="0.25">
      <c r="B22" s="7" t="s">
        <v>190</v>
      </c>
      <c r="C22" s="8" t="e">
        <f>'C1 lossy AI'!$AL$48:$AL$48</f>
        <v>#DIV/0!</v>
      </c>
      <c r="D22" s="8" t="e">
        <f>'C1 lossy AI'!$AM$48:$AM$48</f>
        <v>#DIV/0!</v>
      </c>
      <c r="E22" s="8" t="e">
        <f>'C1 lossy AI'!$AN$48:$AN$48</f>
        <v>#DIV/0!</v>
      </c>
      <c r="F22" s="8" t="e">
        <f>'C1 lossy AI'!$AO$48:$AO$48</f>
        <v>#DIV/0!</v>
      </c>
      <c r="G22" s="8" t="e">
        <f>'C1 lossy AI'!$AP$48:$AP$48</f>
        <v>#DIV/0!</v>
      </c>
      <c r="H22" s="8" t="e">
        <f>'C1 lossy AI'!$AQ$48:$AQ$48</f>
        <v>#DIV/0!</v>
      </c>
      <c r="I22" s="8" t="e">
        <f>'C1 lossy AI'!$AR$48:$AR$48</f>
        <v>#DIV/0!</v>
      </c>
    </row>
    <row r="23" spans="2:9" x14ac:dyDescent="0.25">
      <c r="B23" t="s">
        <v>199</v>
      </c>
      <c r="C23" s="67" t="e">
        <f>'C1 lossy AI'!AI50</f>
        <v>#DIV/0!</v>
      </c>
      <c r="D23" s="67"/>
      <c r="E23" s="67"/>
      <c r="F23" s="67"/>
      <c r="G23" s="67"/>
      <c r="H23" s="67"/>
      <c r="I23" s="67"/>
    </row>
    <row r="24" spans="2:9" x14ac:dyDescent="0.25">
      <c r="B24" s="10" t="s">
        <v>200</v>
      </c>
      <c r="C24" s="68" t="e">
        <f>'C1 lossy AI'!AJ50</f>
        <v>#DIV/0!</v>
      </c>
      <c r="D24" s="68"/>
      <c r="E24" s="68"/>
      <c r="F24" s="68"/>
      <c r="G24" s="68"/>
      <c r="H24" s="68"/>
      <c r="I24" s="68"/>
    </row>
    <row r="26" spans="2:9" s="1" customFormat="1" x14ac:dyDescent="0.25">
      <c r="B26" s="1" t="s">
        <v>372</v>
      </c>
    </row>
    <row r="28" spans="2:9" x14ac:dyDescent="0.25">
      <c r="B28" s="63" t="s">
        <v>373</v>
      </c>
      <c r="C28" s="64" t="s">
        <v>374</v>
      </c>
      <c r="D28" s="64"/>
      <c r="E28" s="64"/>
      <c r="F28" s="64"/>
      <c r="G28" s="64"/>
      <c r="H28" s="64"/>
      <c r="I28" s="64"/>
    </row>
    <row r="29" spans="2:9" x14ac:dyDescent="0.25">
      <c r="B29" s="63"/>
      <c r="C29" s="65" t="s">
        <v>263</v>
      </c>
      <c r="D29" s="65"/>
      <c r="E29" s="65"/>
      <c r="F29" s="65"/>
      <c r="G29" s="65"/>
      <c r="H29" s="66" t="s">
        <v>274</v>
      </c>
      <c r="I29" s="66"/>
    </row>
    <row r="30" spans="2:9" x14ac:dyDescent="0.25">
      <c r="B30" s="63"/>
      <c r="C30" s="4" t="s">
        <v>219</v>
      </c>
      <c r="D30" s="4" t="s">
        <v>222</v>
      </c>
      <c r="E30" s="4" t="s">
        <v>225</v>
      </c>
      <c r="F30" s="4" t="s">
        <v>228</v>
      </c>
      <c r="G30" s="4" t="s">
        <v>231</v>
      </c>
      <c r="H30" s="12" t="s">
        <v>235</v>
      </c>
      <c r="I30" s="12" t="s">
        <v>225</v>
      </c>
    </row>
    <row r="31" spans="2:9" x14ac:dyDescent="0.25">
      <c r="B31" s="5" t="s">
        <v>187</v>
      </c>
      <c r="C31" s="6" t="e">
        <f>'C2 lossy RA'!$AL$45:$AL$45</f>
        <v>#DIV/0!</v>
      </c>
      <c r="D31" s="6" t="e">
        <f>'C2 lossy RA'!$AM$45:$AM$45</f>
        <v>#DIV/0!</v>
      </c>
      <c r="E31" s="6" t="e">
        <f>'C2 lossy RA'!$AN$45:$AN$45</f>
        <v>#DIV/0!</v>
      </c>
      <c r="F31" s="6" t="e">
        <f>'C2 lossy RA'!$AO$45:$AO$45</f>
        <v>#DIV/0!</v>
      </c>
      <c r="G31" s="6" t="e">
        <f>'C2 lossy RA'!$AP$45:$AP$45</f>
        <v>#DIV/0!</v>
      </c>
      <c r="H31" s="6" t="e">
        <f>'C2 lossy RA'!$AQ$45:$AQ$45</f>
        <v>#DIV/0!</v>
      </c>
      <c r="I31" s="6" t="e">
        <f>'C2 lossy RA'!$AR$45:$AR$45</f>
        <v>#DIV/0!</v>
      </c>
    </row>
    <row r="32" spans="2:9" x14ac:dyDescent="0.25">
      <c r="B32" s="5" t="s">
        <v>188</v>
      </c>
      <c r="C32" s="6" t="e">
        <f>'C2 lossy RA'!$AL$46:$AL$46</f>
        <v>#DIV/0!</v>
      </c>
      <c r="D32" s="6" t="e">
        <f>'C2 lossy RA'!$AM$46:$AM$46</f>
        <v>#DIV/0!</v>
      </c>
      <c r="E32" s="6" t="e">
        <f>'C2 lossy RA'!$AN$46:$AN$46</f>
        <v>#DIV/0!</v>
      </c>
      <c r="F32" s="6" t="e">
        <f>'C2 lossy RA'!$AO$46:$AO$46</f>
        <v>#DIV/0!</v>
      </c>
      <c r="G32" s="6" t="e">
        <f>'C2 lossy RA'!$AP$46:$AP$46</f>
        <v>#DIV/0!</v>
      </c>
      <c r="H32" s="6" t="e">
        <f>'C2 lossy RA'!$AQ$46:$AQ$46</f>
        <v>#DIV/0!</v>
      </c>
      <c r="I32" s="6" t="e">
        <f>'C2 lossy RA'!$AR$46:$AR$46</f>
        <v>#DIV/0!</v>
      </c>
    </row>
    <row r="33" spans="2:9" x14ac:dyDescent="0.25">
      <c r="B33" s="5" t="s">
        <v>189</v>
      </c>
      <c r="C33" s="6" t="e">
        <f>'C2 lossy RA'!$AL$47:$AL$47</f>
        <v>#DIV/0!</v>
      </c>
      <c r="D33" s="6" t="e">
        <f>'C2 lossy RA'!$AM$47:$AM$47</f>
        <v>#DIV/0!</v>
      </c>
      <c r="E33" s="6" t="e">
        <f>'C2 lossy RA'!$AN$47:$AN$47</f>
        <v>#DIV/0!</v>
      </c>
      <c r="F33" s="6" t="e">
        <f>'C2 lossy RA'!$AO$47:$AO$47</f>
        <v>#DIV/0!</v>
      </c>
      <c r="G33" s="6" t="e">
        <f>'C2 lossy RA'!$AP$47:$AP$47</f>
        <v>#DIV/0!</v>
      </c>
      <c r="H33" s="6" t="e">
        <f>'C2 lossy RA'!$AQ$47:$AQ$47</f>
        <v>#DIV/0!</v>
      </c>
      <c r="I33" s="6" t="e">
        <f>'C2 lossy RA'!$AR$47:$AR$47</f>
        <v>#DIV/0!</v>
      </c>
    </row>
    <row r="34" spans="2:9" x14ac:dyDescent="0.25">
      <c r="B34" s="7" t="s">
        <v>190</v>
      </c>
      <c r="C34" s="8" t="e">
        <f>'C2 lossy RA'!$AL$48:$AL$48</f>
        <v>#DIV/0!</v>
      </c>
      <c r="D34" s="8" t="e">
        <f>'C2 lossy RA'!$AM$48:$AM$48</f>
        <v>#DIV/0!</v>
      </c>
      <c r="E34" s="8" t="e">
        <f>'C2 lossy RA'!$AN$48:$AN$48</f>
        <v>#DIV/0!</v>
      </c>
      <c r="F34" s="8" t="e">
        <f>'C2 lossy RA'!$AO$48:$AO$48</f>
        <v>#DIV/0!</v>
      </c>
      <c r="G34" s="8" t="e">
        <f>'C2 lossy RA'!$AP$48:$AP$48</f>
        <v>#DIV/0!</v>
      </c>
      <c r="H34" s="8" t="e">
        <f>'C2 lossy RA'!$AQ$48:$AQ$48</f>
        <v>#DIV/0!</v>
      </c>
      <c r="I34" s="8" t="e">
        <f>'C2 lossy RA'!$AR$48:$AR$48</f>
        <v>#DIV/0!</v>
      </c>
    </row>
    <row r="35" spans="2:9" x14ac:dyDescent="0.25">
      <c r="B35" t="s">
        <v>199</v>
      </c>
      <c r="C35" s="67" t="e">
        <f>'C2 lossy RA'!AI50</f>
        <v>#DIV/0!</v>
      </c>
      <c r="D35" s="67"/>
      <c r="E35" s="67"/>
      <c r="F35" s="67"/>
      <c r="G35" s="67"/>
      <c r="H35" s="67"/>
      <c r="I35" s="67"/>
    </row>
    <row r="36" spans="2:9" x14ac:dyDescent="0.25">
      <c r="B36" s="10" t="s">
        <v>200</v>
      </c>
      <c r="C36" s="68" t="e">
        <f>'C2 lossy RA'!AJ50</f>
        <v>#DIV/0!</v>
      </c>
      <c r="D36" s="68"/>
      <c r="E36" s="68"/>
      <c r="F36" s="68"/>
      <c r="G36" s="68"/>
      <c r="H36" s="68"/>
      <c r="I36" s="68"/>
    </row>
  </sheetData>
  <mergeCells count="15">
    <mergeCell ref="C35:I35"/>
    <mergeCell ref="C36:I36"/>
    <mergeCell ref="C23:I23"/>
    <mergeCell ref="C24:I24"/>
    <mergeCell ref="B28:B30"/>
    <mergeCell ref="C28:I28"/>
    <mergeCell ref="C29:G29"/>
    <mergeCell ref="H29:I29"/>
    <mergeCell ref="C1:E1"/>
    <mergeCell ref="C2:E2"/>
    <mergeCell ref="B6:B8"/>
    <mergeCell ref="B16:B18"/>
    <mergeCell ref="C16:I16"/>
    <mergeCell ref="C17:G17"/>
    <mergeCell ref="H17:I17"/>
  </mergeCells>
  <conditionalFormatting sqref="C19 C20 C21 C22">
    <cfRule type="cellIs" dxfId="65" priority="15" operator="greaterThanOrEqual">
      <formula>0.03</formula>
    </cfRule>
    <cfRule type="cellIs" dxfId="64" priority="16" operator="lessThanOrEqual">
      <formula>-0.03</formula>
    </cfRule>
  </conditionalFormatting>
  <conditionalFormatting sqref="C31 C32 C33 C34">
    <cfRule type="cellIs" dxfId="63" priority="17" operator="greaterThanOrEqual">
      <formula>0.03</formula>
    </cfRule>
    <cfRule type="cellIs" dxfId="62" priority="18" operator="lessThanOrEqual">
      <formula>-0.03</formula>
    </cfRule>
  </conditionalFormatting>
  <conditionalFormatting sqref="C9 C10 C11 C12">
    <cfRule type="cellIs" dxfId="61" priority="1" operator="greaterThanOrEqual">
      <formula>1.03</formula>
    </cfRule>
    <cfRule type="cellIs" dxfId="60" priority="2" operator="lessThanOrEqual">
      <formula>0.97</formula>
    </cfRule>
  </conditionalFormatting>
  <conditionalFormatting sqref="D19 D20 D21 D22">
    <cfRule type="cellIs" dxfId="59" priority="11" operator="greaterThanOrEqual">
      <formula>0.03</formula>
    </cfRule>
    <cfRule type="cellIs" dxfId="58" priority="12" operator="lessThanOrEqual">
      <formula>-0.03</formula>
    </cfRule>
  </conditionalFormatting>
  <conditionalFormatting sqref="D31 D32 D33 D34">
    <cfRule type="cellIs" dxfId="57" priority="21" operator="greaterThanOrEqual">
      <formula>0.03</formula>
    </cfRule>
    <cfRule type="cellIs" dxfId="56" priority="22" operator="lessThanOrEqual">
      <formula>-0.03</formula>
    </cfRule>
  </conditionalFormatting>
  <conditionalFormatting sqref="E19 E20 E21 E22">
    <cfRule type="cellIs" dxfId="55" priority="5" operator="greaterThanOrEqual">
      <formula>0.03</formula>
    </cfRule>
    <cfRule type="cellIs" dxfId="54" priority="6" operator="lessThanOrEqual">
      <formula>-0.03</formula>
    </cfRule>
  </conditionalFormatting>
  <conditionalFormatting sqref="E31 E32 E33 E34">
    <cfRule type="cellIs" dxfId="53" priority="25" operator="greaterThanOrEqual">
      <formula>0.03</formula>
    </cfRule>
    <cfRule type="cellIs" dxfId="52" priority="26" operator="lessThanOrEqual">
      <formula>-0.03</formula>
    </cfRule>
  </conditionalFormatting>
  <conditionalFormatting sqref="F19 F20 F21 F22">
    <cfRule type="cellIs" dxfId="51" priority="3" operator="greaterThanOrEqual">
      <formula>0.03</formula>
    </cfRule>
    <cfRule type="cellIs" dxfId="50" priority="4" operator="lessThanOrEqual">
      <formula>-0.03</formula>
    </cfRule>
  </conditionalFormatting>
  <conditionalFormatting sqref="F31 F32 F33 F34">
    <cfRule type="cellIs" dxfId="49" priority="29" operator="greaterThanOrEqual">
      <formula>0.03</formula>
    </cfRule>
    <cfRule type="cellIs" dxfId="48" priority="30" operator="lessThanOrEqual">
      <formula>-0.03</formula>
    </cfRule>
  </conditionalFormatting>
  <conditionalFormatting sqref="G19 G20 G21 G22">
    <cfRule type="cellIs" dxfId="47" priority="13" operator="greaterThanOrEqual">
      <formula>0.03</formula>
    </cfRule>
    <cfRule type="cellIs" dxfId="46" priority="14" operator="lessThanOrEqual">
      <formula>-0.03</formula>
    </cfRule>
  </conditionalFormatting>
  <conditionalFormatting sqref="G31 G32 G33 G34">
    <cfRule type="cellIs" dxfId="45" priority="19" operator="greaterThanOrEqual">
      <formula>0.03</formula>
    </cfRule>
    <cfRule type="cellIs" dxfId="44" priority="20" operator="lessThanOrEqual">
      <formula>-0.03</formula>
    </cfRule>
  </conditionalFormatting>
  <conditionalFormatting sqref="H19 H20 H21 H22">
    <cfRule type="cellIs" dxfId="43" priority="9" operator="greaterThanOrEqual">
      <formula>0.03</formula>
    </cfRule>
    <cfRule type="cellIs" dxfId="42" priority="10" operator="lessThanOrEqual">
      <formula>-0.03</formula>
    </cfRule>
  </conditionalFormatting>
  <conditionalFormatting sqref="H31 H32 H33 H34">
    <cfRule type="cellIs" dxfId="41" priority="23" operator="greaterThanOrEqual">
      <formula>0.03</formula>
    </cfRule>
    <cfRule type="cellIs" dxfId="40" priority="24" operator="lessThanOrEqual">
      <formula>-0.03</formula>
    </cfRule>
  </conditionalFormatting>
  <conditionalFormatting sqref="I19 I20 I21 I22">
    <cfRule type="cellIs" dxfId="39" priority="7" operator="greaterThanOrEqual">
      <formula>0.03</formula>
    </cfRule>
    <cfRule type="cellIs" dxfId="38" priority="8" operator="lessThanOrEqual">
      <formula>-0.03</formula>
    </cfRule>
  </conditionalFormatting>
  <conditionalFormatting sqref="I31 I32 I33 I34">
    <cfRule type="cellIs" dxfId="37" priority="27" operator="greaterThanOrEqual">
      <formula>0.03</formula>
    </cfRule>
    <cfRule type="cellIs" dxfId="36" priority="28"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N49"/>
  <sheetViews>
    <sheetView zoomScale="55" zoomScaleNormal="55" workbookViewId="0">
      <selection activeCell="N3" sqref="N3"/>
    </sheetView>
  </sheetViews>
  <sheetFormatPr defaultColWidth="9.140625" defaultRowHeight="15" x14ac:dyDescent="0.25"/>
  <cols>
    <col min="1" max="1" width="12.7109375" customWidth="1"/>
    <col min="2" max="2" width="24.7109375" customWidth="1"/>
    <col min="4" max="4" width="24.7109375" customWidth="1"/>
    <col min="9" max="9" width="16.7109375" customWidth="1"/>
  </cols>
  <sheetData>
    <row r="1" spans="1:14" x14ac:dyDescent="0.25">
      <c r="A1" t="s">
        <v>101</v>
      </c>
      <c r="B1" s="13" t="str">
        <f>M1</f>
        <v>C1 lossy AI</v>
      </c>
      <c r="C1" t="s">
        <v>102</v>
      </c>
      <c r="I1" t="s">
        <v>4</v>
      </c>
      <c r="M1" t="s">
        <v>307</v>
      </c>
      <c r="N1" t="s">
        <v>375</v>
      </c>
    </row>
    <row r="2" spans="1:14" x14ac:dyDescent="0.25">
      <c r="A2" t="s">
        <v>103</v>
      </c>
      <c r="B2" s="13" t="s">
        <v>181</v>
      </c>
      <c r="C2" t="s">
        <v>104</v>
      </c>
      <c r="I2" t="s">
        <v>5</v>
      </c>
      <c r="J2" t="s">
        <v>6</v>
      </c>
      <c r="M2" t="s">
        <v>309</v>
      </c>
      <c r="N2" t="s">
        <v>377</v>
      </c>
    </row>
    <row r="3" spans="1:14" x14ac:dyDescent="0.25">
      <c r="I3" t="s">
        <v>7</v>
      </c>
      <c r="J3" t="s">
        <v>8</v>
      </c>
      <c r="M3" t="s">
        <v>160</v>
      </c>
      <c r="N3" t="s">
        <v>160</v>
      </c>
    </row>
    <row r="4" spans="1:14" x14ac:dyDescent="0.25">
      <c r="A4" t="s">
        <v>105</v>
      </c>
      <c r="B4" s="13" t="s">
        <v>81</v>
      </c>
      <c r="C4" t="s">
        <v>106</v>
      </c>
      <c r="D4" s="13" t="s">
        <v>39</v>
      </c>
      <c r="E4" t="s">
        <v>107</v>
      </c>
      <c r="I4" t="s">
        <v>9</v>
      </c>
      <c r="J4" t="s">
        <v>10</v>
      </c>
      <c r="M4" t="s">
        <v>164</v>
      </c>
      <c r="N4" t="s">
        <v>164</v>
      </c>
    </row>
    <row r="5" spans="1:14" x14ac:dyDescent="0.25">
      <c r="A5" t="s">
        <v>105</v>
      </c>
      <c r="B5" s="13" t="s">
        <v>81</v>
      </c>
      <c r="C5" t="s">
        <v>106</v>
      </c>
      <c r="D5" s="13" t="s">
        <v>41</v>
      </c>
      <c r="E5" t="s">
        <v>108</v>
      </c>
      <c r="I5" t="s">
        <v>11</v>
      </c>
      <c r="J5" t="s">
        <v>12</v>
      </c>
      <c r="M5" t="s">
        <v>167</v>
      </c>
      <c r="N5" t="s">
        <v>167</v>
      </c>
    </row>
    <row r="6" spans="1:14" x14ac:dyDescent="0.25">
      <c r="A6" t="s">
        <v>105</v>
      </c>
      <c r="B6" s="13" t="s">
        <v>81</v>
      </c>
      <c r="C6" t="s">
        <v>106</v>
      </c>
      <c r="D6" s="13" t="s">
        <v>23</v>
      </c>
      <c r="E6" t="s">
        <v>109</v>
      </c>
      <c r="I6" t="s">
        <v>13</v>
      </c>
      <c r="J6" t="s">
        <v>14</v>
      </c>
      <c r="M6" t="s">
        <v>171</v>
      </c>
      <c r="N6" t="s">
        <v>171</v>
      </c>
    </row>
    <row r="7" spans="1:14" x14ac:dyDescent="0.25">
      <c r="A7" t="s">
        <v>105</v>
      </c>
      <c r="B7" s="13" t="s">
        <v>81</v>
      </c>
      <c r="C7" t="s">
        <v>106</v>
      </c>
      <c r="D7" s="13" t="s">
        <v>43</v>
      </c>
      <c r="E7" t="s">
        <v>110</v>
      </c>
      <c r="I7" t="s">
        <v>15</v>
      </c>
      <c r="J7" t="s">
        <v>16</v>
      </c>
      <c r="M7" t="s">
        <v>174</v>
      </c>
      <c r="N7" t="s">
        <v>174</v>
      </c>
    </row>
    <row r="8" spans="1:14" x14ac:dyDescent="0.25">
      <c r="A8" t="s">
        <v>105</v>
      </c>
      <c r="B8" s="13" t="s">
        <v>81</v>
      </c>
      <c r="C8" t="s">
        <v>106</v>
      </c>
      <c r="D8" s="13" t="s">
        <v>35</v>
      </c>
      <c r="E8" t="s">
        <v>111</v>
      </c>
      <c r="I8" t="s">
        <v>17</v>
      </c>
      <c r="J8" t="s">
        <v>18</v>
      </c>
      <c r="M8" t="s">
        <v>178</v>
      </c>
      <c r="N8" t="s">
        <v>178</v>
      </c>
    </row>
    <row r="9" spans="1:14" x14ac:dyDescent="0.25">
      <c r="A9" t="s">
        <v>105</v>
      </c>
      <c r="B9" s="13" t="s">
        <v>81</v>
      </c>
      <c r="C9" t="s">
        <v>106</v>
      </c>
      <c r="D9" s="13" t="s">
        <v>37</v>
      </c>
      <c r="E9" t="s">
        <v>112</v>
      </c>
      <c r="I9" t="s">
        <v>19</v>
      </c>
      <c r="J9" t="s">
        <v>20</v>
      </c>
      <c r="M9" t="s">
        <v>181</v>
      </c>
      <c r="N9" t="s">
        <v>181</v>
      </c>
    </row>
    <row r="10" spans="1:14" x14ac:dyDescent="0.25">
      <c r="A10" t="s">
        <v>105</v>
      </c>
      <c r="B10" s="13" t="s">
        <v>81</v>
      </c>
      <c r="C10" t="s">
        <v>106</v>
      </c>
      <c r="D10" s="13" t="s">
        <v>25</v>
      </c>
      <c r="E10" t="s">
        <v>113</v>
      </c>
      <c r="I10" t="s">
        <v>21</v>
      </c>
      <c r="J10" t="s">
        <v>22</v>
      </c>
      <c r="M10" t="s">
        <v>184</v>
      </c>
      <c r="N10" t="s">
        <v>184</v>
      </c>
    </row>
    <row r="11" spans="1:14" x14ac:dyDescent="0.25">
      <c r="I11" t="s">
        <v>23</v>
      </c>
      <c r="J11" t="s">
        <v>24</v>
      </c>
    </row>
    <row r="12" spans="1:14" x14ac:dyDescent="0.25">
      <c r="I12" t="s">
        <v>25</v>
      </c>
      <c r="J12" t="s">
        <v>26</v>
      </c>
    </row>
    <row r="13" spans="1:14" x14ac:dyDescent="0.25">
      <c r="I13" t="s">
        <v>27</v>
      </c>
      <c r="J13" t="s">
        <v>28</v>
      </c>
    </row>
    <row r="14" spans="1:14" x14ac:dyDescent="0.25">
      <c r="I14" t="s">
        <v>29</v>
      </c>
      <c r="J14" t="s">
        <v>30</v>
      </c>
    </row>
    <row r="15" spans="1:14" x14ac:dyDescent="0.25">
      <c r="I15" t="s">
        <v>31</v>
      </c>
      <c r="J15" t="s">
        <v>32</v>
      </c>
    </row>
    <row r="16" spans="1:14" x14ac:dyDescent="0.25">
      <c r="I16" t="s">
        <v>33</v>
      </c>
      <c r="J16" t="s">
        <v>34</v>
      </c>
    </row>
    <row r="17" spans="9:10" x14ac:dyDescent="0.25">
      <c r="I17" t="s">
        <v>35</v>
      </c>
      <c r="J17" t="s">
        <v>36</v>
      </c>
    </row>
    <row r="18" spans="9:10" x14ac:dyDescent="0.25">
      <c r="I18" t="s">
        <v>37</v>
      </c>
      <c r="J18" t="s">
        <v>38</v>
      </c>
    </row>
    <row r="19" spans="9:10" x14ac:dyDescent="0.25">
      <c r="I19" t="s">
        <v>39</v>
      </c>
      <c r="J19" t="s">
        <v>40</v>
      </c>
    </row>
    <row r="20" spans="9:10" x14ac:dyDescent="0.25">
      <c r="I20" t="s">
        <v>41</v>
      </c>
      <c r="J20" t="s">
        <v>42</v>
      </c>
    </row>
    <row r="21" spans="9:10" x14ac:dyDescent="0.25">
      <c r="I21" t="s">
        <v>43</v>
      </c>
      <c r="J21" t="s">
        <v>44</v>
      </c>
    </row>
    <row r="22" spans="9:10" x14ac:dyDescent="0.25">
      <c r="I22" t="s">
        <v>45</v>
      </c>
      <c r="J22" t="s">
        <v>46</v>
      </c>
    </row>
    <row r="23" spans="9:10" x14ac:dyDescent="0.25">
      <c r="I23" t="s">
        <v>47</v>
      </c>
      <c r="J23" t="s">
        <v>48</v>
      </c>
    </row>
    <row r="24" spans="9:10" x14ac:dyDescent="0.25">
      <c r="I24" t="s">
        <v>49</v>
      </c>
      <c r="J24" t="s">
        <v>50</v>
      </c>
    </row>
    <row r="25" spans="9:10" x14ac:dyDescent="0.25">
      <c r="I25" t="s">
        <v>51</v>
      </c>
      <c r="J25" t="s">
        <v>52</v>
      </c>
    </row>
    <row r="26" spans="9:10" x14ac:dyDescent="0.25">
      <c r="I26" t="s">
        <v>53</v>
      </c>
      <c r="J26" t="s">
        <v>54</v>
      </c>
    </row>
    <row r="27" spans="9:10" x14ac:dyDescent="0.25">
      <c r="I27" t="s">
        <v>55</v>
      </c>
      <c r="J27" t="s">
        <v>56</v>
      </c>
    </row>
    <row r="28" spans="9:10" x14ac:dyDescent="0.25">
      <c r="I28" t="s">
        <v>57</v>
      </c>
      <c r="J28" t="s">
        <v>58</v>
      </c>
    </row>
    <row r="29" spans="9:10" x14ac:dyDescent="0.25">
      <c r="I29" t="s">
        <v>59</v>
      </c>
      <c r="J29" t="s">
        <v>60</v>
      </c>
    </row>
    <row r="30" spans="9:10" x14ac:dyDescent="0.25">
      <c r="I30" t="s">
        <v>61</v>
      </c>
      <c r="J30" t="s">
        <v>62</v>
      </c>
    </row>
    <row r="31" spans="9:10" x14ac:dyDescent="0.25">
      <c r="I31" t="s">
        <v>63</v>
      </c>
      <c r="J31" t="s">
        <v>64</v>
      </c>
    </row>
    <row r="32" spans="9:10" x14ac:dyDescent="0.25">
      <c r="I32" t="s">
        <v>65</v>
      </c>
      <c r="J32" t="s">
        <v>66</v>
      </c>
    </row>
    <row r="33" spans="9:10" x14ac:dyDescent="0.25">
      <c r="I33" t="s">
        <v>67</v>
      </c>
      <c r="J33" t="s">
        <v>68</v>
      </c>
    </row>
    <row r="34" spans="9:10" x14ac:dyDescent="0.25">
      <c r="I34" t="s">
        <v>69</v>
      </c>
      <c r="J34" t="s">
        <v>70</v>
      </c>
    </row>
    <row r="35" spans="9:10" x14ac:dyDescent="0.25">
      <c r="I35" t="s">
        <v>71</v>
      </c>
      <c r="J35" t="s">
        <v>72</v>
      </c>
    </row>
    <row r="36" spans="9:10" x14ac:dyDescent="0.25">
      <c r="I36" t="s">
        <v>73</v>
      </c>
      <c r="J36" t="s">
        <v>74</v>
      </c>
    </row>
    <row r="37" spans="9:10" x14ac:dyDescent="0.25">
      <c r="I37" t="s">
        <v>75</v>
      </c>
      <c r="J37" t="s">
        <v>76</v>
      </c>
    </row>
    <row r="38" spans="9:10" x14ac:dyDescent="0.25">
      <c r="I38" t="s">
        <v>77</v>
      </c>
      <c r="J38" t="s">
        <v>78</v>
      </c>
    </row>
    <row r="39" spans="9:10" x14ac:dyDescent="0.25">
      <c r="I39" t="s">
        <v>79</v>
      </c>
      <c r="J39" t="s">
        <v>80</v>
      </c>
    </row>
    <row r="40" spans="9:10" x14ac:dyDescent="0.25">
      <c r="I40" t="s">
        <v>81</v>
      </c>
      <c r="J40" t="s">
        <v>82</v>
      </c>
    </row>
    <row r="41" spans="9:10" x14ac:dyDescent="0.25">
      <c r="I41" t="s">
        <v>83</v>
      </c>
      <c r="J41" t="s">
        <v>84</v>
      </c>
    </row>
    <row r="42" spans="9:10" x14ac:dyDescent="0.25">
      <c r="I42" t="s">
        <v>85</v>
      </c>
      <c r="J42" t="s">
        <v>86</v>
      </c>
    </row>
    <row r="43" spans="9:10" x14ac:dyDescent="0.25">
      <c r="I43" t="s">
        <v>87</v>
      </c>
      <c r="J43" t="s">
        <v>88</v>
      </c>
    </row>
    <row r="44" spans="9:10" x14ac:dyDescent="0.25">
      <c r="I44" t="s">
        <v>89</v>
      </c>
      <c r="J44" t="s">
        <v>90</v>
      </c>
    </row>
    <row r="45" spans="9:10" x14ac:dyDescent="0.25">
      <c r="I45" t="s">
        <v>91</v>
      </c>
      <c r="J45" t="s">
        <v>92</v>
      </c>
    </row>
    <row r="46" spans="9:10" x14ac:dyDescent="0.25">
      <c r="I46" t="s">
        <v>93</v>
      </c>
      <c r="J46" t="s">
        <v>94</v>
      </c>
    </row>
    <row r="47" spans="9:10" x14ac:dyDescent="0.25">
      <c r="I47" t="s">
        <v>95</v>
      </c>
      <c r="J47" t="s">
        <v>96</v>
      </c>
    </row>
    <row r="48" spans="9:10" x14ac:dyDescent="0.25">
      <c r="I48" t="s">
        <v>97</v>
      </c>
      <c r="J48" t="s">
        <v>98</v>
      </c>
    </row>
    <row r="49" spans="9:10" x14ac:dyDescent="0.25">
      <c r="I49" t="s">
        <v>99</v>
      </c>
      <c r="J49" t="s">
        <v>100</v>
      </c>
    </row>
  </sheetData>
  <conditionalFormatting sqref="B2">
    <cfRule type="expression" dxfId="35" priority="1">
      <formula>ISNA(MATCH(B2,OFFSET(M:M,2,MATCH(B1,M1:ZZ1,0)-1,COUNTA(INDEX(M:ZZ,,MATCH(B1,M1:ZZ1,0)))-2),0))</formula>
    </cfRule>
  </conditionalFormatting>
  <conditionalFormatting sqref="B4 D4 B5 D5 B6 D6 B7 D7 B8 D8 B9 D9 B10 D10">
    <cfRule type="expression" dxfId="34" priority="2">
      <formula>ISNA(MATCH(B4,filter_cols,0))</formula>
    </cfRule>
  </conditionalFormatting>
  <dataValidations count="3">
    <dataValidation type="list" allowBlank="1" showInputMessage="1" showErrorMessage="1" sqref="B1" xr:uid="{00000000-0002-0000-0100-000000000000}">
      <formula1>OFFSET(1:1,0,COLUMN(M1)-1,1,COUNTA(M1:ZZ1))</formula1>
    </dataValidation>
    <dataValidation type="list" allowBlank="1" showInputMessage="1" showErrorMessage="1" sqref="B2" xr:uid="{00000000-0002-0000-0100-000001000000}">
      <formula1>OFFSET(M:M,2,MATCH(B1,M1:ZZ1,0)-1,COUNTA(INDEX(M:ZZ,,MATCH(B1,M1:ZZ1,0)))-2)</formula1>
    </dataValidation>
    <dataValidation type="list" allowBlank="1" showInputMessage="1" showErrorMessage="1" sqref="B4:B10 D4:D10"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T18"/>
  <sheetViews>
    <sheetView zoomScaleNormal="100" workbookViewId="0">
      <pane xSplit="2" ySplit="4" topLeftCell="C5" activePane="bottomRight" state="frozen"/>
      <selection pane="topRight" activeCell="C1" sqref="C1"/>
      <selection pane="bottomLeft" activeCell="A5" sqref="A5"/>
      <selection pane="bottomRight" sqref="A1:F1"/>
    </sheetView>
  </sheetViews>
  <sheetFormatPr defaultColWidth="9.140625" defaultRowHeight="15" x14ac:dyDescent="0.25"/>
  <cols>
    <col min="2" max="2" width="24.7109375" customWidth="1"/>
    <col min="3" max="4" width="10.7109375" customWidth="1"/>
    <col min="7" max="7" width="1.7109375" customWidth="1"/>
    <col min="9" max="9" width="10.7109375" customWidth="1"/>
    <col min="10" max="10" width="12.7109375" customWidth="1"/>
    <col min="13" max="13" width="1.7109375" customWidth="1"/>
    <col min="15" max="15" width="10.7109375" customWidth="1"/>
    <col min="16" max="16" width="12.7109375" customWidth="1"/>
    <col min="19" max="19" width="1.7109375" customWidth="1"/>
    <col min="21" max="21" width="1.7109375" customWidth="1"/>
  </cols>
  <sheetData>
    <row r="1" spans="1:20" x14ac:dyDescent="0.25">
      <c r="A1" s="71" t="s">
        <v>155</v>
      </c>
      <c r="B1" s="71"/>
      <c r="C1" s="71"/>
      <c r="D1" s="71"/>
      <c r="E1" s="71"/>
      <c r="F1" s="71"/>
      <c r="H1" s="61" t="str">
        <f>Summary!C1</f>
        <v>anchor</v>
      </c>
      <c r="I1" s="61"/>
      <c r="J1" s="61"/>
      <c r="K1" s="61"/>
      <c r="L1" s="61"/>
      <c r="N1" s="62" t="str">
        <f>Summary!C2</f>
        <v>proposal</v>
      </c>
      <c r="O1" s="62"/>
      <c r="P1" s="62"/>
      <c r="Q1" s="62"/>
      <c r="R1" s="62"/>
    </row>
    <row r="2" spans="1:20" ht="30" customHeight="1" x14ac:dyDescent="0.25">
      <c r="A2" s="70" t="s">
        <v>114</v>
      </c>
      <c r="B2" s="69" t="s">
        <v>117</v>
      </c>
      <c r="C2" s="70" t="s">
        <v>120</v>
      </c>
      <c r="D2" s="69" t="s">
        <v>123</v>
      </c>
      <c r="E2" s="70" t="s">
        <v>126</v>
      </c>
      <c r="F2" s="69" t="s">
        <v>129</v>
      </c>
      <c r="H2" s="70" t="s">
        <v>82</v>
      </c>
      <c r="I2" s="69" t="s">
        <v>86</v>
      </c>
      <c r="J2" s="70" t="s">
        <v>74</v>
      </c>
      <c r="K2" s="69" t="s">
        <v>76</v>
      </c>
      <c r="L2" s="70" t="s">
        <v>56</v>
      </c>
      <c r="N2" s="69" t="s">
        <v>82</v>
      </c>
      <c r="O2" s="70" t="s">
        <v>86</v>
      </c>
      <c r="P2" s="69" t="s">
        <v>74</v>
      </c>
      <c r="Q2" s="70" t="s">
        <v>76</v>
      </c>
      <c r="R2" s="69" t="s">
        <v>56</v>
      </c>
      <c r="T2" s="70" t="s">
        <v>152</v>
      </c>
    </row>
    <row r="3" spans="1:20" x14ac:dyDescent="0.25">
      <c r="A3" s="70"/>
      <c r="B3" s="69"/>
      <c r="C3" s="70"/>
      <c r="D3" s="69"/>
      <c r="E3" s="70"/>
      <c r="F3" s="69"/>
      <c r="H3" s="70"/>
      <c r="I3" s="69"/>
      <c r="J3" s="70"/>
      <c r="K3" s="69"/>
      <c r="L3" s="70"/>
      <c r="N3" s="69"/>
      <c r="O3" s="70"/>
      <c r="P3" s="69"/>
      <c r="Q3" s="70"/>
      <c r="R3" s="69"/>
      <c r="T3" s="70"/>
    </row>
    <row r="4" spans="1:20" ht="48" hidden="1" x14ac:dyDescent="0.25">
      <c r="A4" s="16" t="s">
        <v>115</v>
      </c>
      <c r="B4" s="17" t="s">
        <v>118</v>
      </c>
      <c r="C4" s="16" t="s">
        <v>121</v>
      </c>
      <c r="D4" s="17" t="s">
        <v>124</v>
      </c>
      <c r="E4" s="16" t="s">
        <v>127</v>
      </c>
      <c r="F4" s="17" t="s">
        <v>130</v>
      </c>
      <c r="H4" s="16" t="s">
        <v>132</v>
      </c>
      <c r="I4" s="17" t="s">
        <v>134</v>
      </c>
      <c r="J4" s="16" t="s">
        <v>136</v>
      </c>
      <c r="K4" s="17" t="s">
        <v>138</v>
      </c>
      <c r="L4" s="16" t="s">
        <v>140</v>
      </c>
      <c r="N4" s="17" t="s">
        <v>142</v>
      </c>
      <c r="O4" s="16" t="s">
        <v>144</v>
      </c>
      <c r="P4" s="17" t="s">
        <v>146</v>
      </c>
      <c r="Q4" s="16" t="s">
        <v>148</v>
      </c>
      <c r="R4" s="17" t="s">
        <v>150</v>
      </c>
      <c r="T4" s="16" t="s">
        <v>153</v>
      </c>
    </row>
    <row r="5" spans="1:20" collapsed="1" x14ac:dyDescent="0.25">
      <c r="A5" s="18" t="s">
        <v>161</v>
      </c>
      <c r="B5" s="18" t="s">
        <v>160</v>
      </c>
      <c r="C5" s="18">
        <v>11997440</v>
      </c>
      <c r="D5" s="19">
        <v>10</v>
      </c>
      <c r="E5" s="20">
        <v>300</v>
      </c>
      <c r="F5" s="20">
        <v>30</v>
      </c>
      <c r="H5" s="21" t="str">
        <f t="shared" ref="H5:H12" si="0">IF(OR(ISBLANK(J5),ISBLANK(F5)),"·",J5*F5/E5/1000000)</f>
        <v>·</v>
      </c>
      <c r="I5" s="22" t="str">
        <f t="shared" ref="I5:I12" si="1">IF(ISBLANK(J5),"·",J5/C5)</f>
        <v>·</v>
      </c>
      <c r="J5" s="23"/>
      <c r="K5" s="24"/>
      <c r="L5" s="24"/>
      <c r="N5" s="21" t="str">
        <f t="shared" ref="N5:N12" si="2">IF(OR(ISBLANK(P5),ISBLANK(F5)),"·",P5*F5/E5/1000000)</f>
        <v>·</v>
      </c>
      <c r="O5" s="22" t="str">
        <f t="shared" ref="O5:O12" si="3">IF(ISBLANK(P5),"·",P5/C5)</f>
        <v>·</v>
      </c>
      <c r="P5" s="23"/>
      <c r="Q5" s="24"/>
      <c r="R5" s="24"/>
      <c r="T5" s="25" t="e">
        <f t="shared" ref="T5:T16" si="4">O5/I5</f>
        <v>#VALUE!</v>
      </c>
    </row>
    <row r="6" spans="1:20" collapsed="1" x14ac:dyDescent="0.25">
      <c r="A6" s="26"/>
      <c r="B6" s="26" t="s">
        <v>164</v>
      </c>
      <c r="C6" s="26">
        <v>9000000</v>
      </c>
      <c r="D6" s="27">
        <v>10</v>
      </c>
      <c r="E6" s="28">
        <v>300</v>
      </c>
      <c r="F6" s="28">
        <v>30</v>
      </c>
      <c r="H6" s="29" t="str">
        <f t="shared" si="0"/>
        <v>·</v>
      </c>
      <c r="I6" s="30" t="str">
        <f t="shared" si="1"/>
        <v>·</v>
      </c>
      <c r="J6" s="31"/>
      <c r="K6" s="32"/>
      <c r="L6" s="32"/>
      <c r="N6" s="29" t="str">
        <f t="shared" si="2"/>
        <v>·</v>
      </c>
      <c r="O6" s="30" t="str">
        <f t="shared" si="3"/>
        <v>·</v>
      </c>
      <c r="P6" s="31"/>
      <c r="Q6" s="32"/>
      <c r="R6" s="32"/>
      <c r="T6" s="33" t="e">
        <f t="shared" si="4"/>
        <v>#VALUE!</v>
      </c>
    </row>
    <row r="7" spans="1:20" collapsed="1" x14ac:dyDescent="0.25">
      <c r="A7" s="18" t="s">
        <v>168</v>
      </c>
      <c r="B7" s="18" t="s">
        <v>167</v>
      </c>
      <c r="C7" s="18">
        <v>11842002</v>
      </c>
      <c r="D7" s="19">
        <v>12</v>
      </c>
      <c r="E7" s="20">
        <v>300</v>
      </c>
      <c r="F7" s="20">
        <v>30</v>
      </c>
      <c r="H7" s="21" t="str">
        <f t="shared" si="0"/>
        <v>·</v>
      </c>
      <c r="I7" s="22" t="str">
        <f t="shared" si="1"/>
        <v>·</v>
      </c>
      <c r="J7" s="23"/>
      <c r="K7" s="24"/>
      <c r="L7" s="24"/>
      <c r="N7" s="21" t="str">
        <f t="shared" si="2"/>
        <v>·</v>
      </c>
      <c r="O7" s="22" t="str">
        <f t="shared" si="3"/>
        <v>·</v>
      </c>
      <c r="P7" s="23"/>
      <c r="Q7" s="24"/>
      <c r="R7" s="24"/>
      <c r="T7" s="25" t="e">
        <f t="shared" si="4"/>
        <v>#VALUE!</v>
      </c>
    </row>
    <row r="8" spans="1:20" collapsed="1" x14ac:dyDescent="0.25">
      <c r="A8" s="26"/>
      <c r="B8" s="26" t="s">
        <v>171</v>
      </c>
      <c r="C8" s="26">
        <v>11812090</v>
      </c>
      <c r="D8" s="27">
        <v>12</v>
      </c>
      <c r="E8" s="28">
        <v>300</v>
      </c>
      <c r="F8" s="28">
        <v>50</v>
      </c>
      <c r="H8" s="29" t="str">
        <f t="shared" si="0"/>
        <v>·</v>
      </c>
      <c r="I8" s="30" t="str">
        <f t="shared" si="1"/>
        <v>·</v>
      </c>
      <c r="J8" s="31"/>
      <c r="K8" s="32"/>
      <c r="L8" s="32"/>
      <c r="N8" s="29" t="str">
        <f t="shared" si="2"/>
        <v>·</v>
      </c>
      <c r="O8" s="30" t="str">
        <f t="shared" si="3"/>
        <v>·</v>
      </c>
      <c r="P8" s="31"/>
      <c r="Q8" s="32"/>
      <c r="R8" s="32"/>
      <c r="T8" s="33" t="e">
        <f t="shared" si="4"/>
        <v>#VALUE!</v>
      </c>
    </row>
    <row r="9" spans="1:20" collapsed="1" x14ac:dyDescent="0.25">
      <c r="A9" s="18" t="s">
        <v>175</v>
      </c>
      <c r="B9" s="18" t="s">
        <v>174</v>
      </c>
      <c r="C9" s="18">
        <v>12000000</v>
      </c>
      <c r="D9" s="19">
        <v>12</v>
      </c>
      <c r="E9" s="20">
        <v>300</v>
      </c>
      <c r="F9" s="20">
        <v>30</v>
      </c>
      <c r="H9" s="21" t="str">
        <f t="shared" si="0"/>
        <v>·</v>
      </c>
      <c r="I9" s="22" t="str">
        <f t="shared" si="1"/>
        <v>·</v>
      </c>
      <c r="J9" s="23"/>
      <c r="K9" s="24"/>
      <c r="L9" s="24"/>
      <c r="N9" s="21" t="str">
        <f t="shared" si="2"/>
        <v>·</v>
      </c>
      <c r="O9" s="22" t="str">
        <f t="shared" si="3"/>
        <v>·</v>
      </c>
      <c r="P9" s="23"/>
      <c r="Q9" s="24"/>
      <c r="R9" s="24"/>
      <c r="T9" s="25" t="e">
        <f t="shared" si="4"/>
        <v>#VALUE!</v>
      </c>
    </row>
    <row r="10" spans="1:20" collapsed="1" x14ac:dyDescent="0.25">
      <c r="A10" s="34"/>
      <c r="B10" s="34" t="s">
        <v>178</v>
      </c>
      <c r="C10" s="34">
        <v>5997654</v>
      </c>
      <c r="D10" s="35">
        <v>12</v>
      </c>
      <c r="E10" s="36">
        <v>150</v>
      </c>
      <c r="F10" s="36">
        <v>30</v>
      </c>
      <c r="H10" s="37" t="str">
        <f t="shared" si="0"/>
        <v>·</v>
      </c>
      <c r="I10" s="38" t="str">
        <f t="shared" si="1"/>
        <v>·</v>
      </c>
      <c r="J10" s="39"/>
      <c r="K10" s="40"/>
      <c r="L10" s="40"/>
      <c r="N10" s="37" t="str">
        <f t="shared" si="2"/>
        <v>·</v>
      </c>
      <c r="O10" s="38" t="str">
        <f t="shared" si="3"/>
        <v>·</v>
      </c>
      <c r="P10" s="39"/>
      <c r="Q10" s="40"/>
      <c r="R10" s="40"/>
      <c r="T10" s="41" t="e">
        <f t="shared" si="4"/>
        <v>#VALUE!</v>
      </c>
    </row>
    <row r="11" spans="1:20" collapsed="1" x14ac:dyDescent="0.25">
      <c r="A11" s="18"/>
      <c r="B11" s="18" t="s">
        <v>181</v>
      </c>
      <c r="C11" s="18">
        <v>9000000</v>
      </c>
      <c r="D11" s="19">
        <v>12</v>
      </c>
      <c r="E11" s="20">
        <v>300</v>
      </c>
      <c r="F11" s="20">
        <v>30</v>
      </c>
      <c r="H11" s="21" t="str">
        <f t="shared" si="0"/>
        <v>·</v>
      </c>
      <c r="I11" s="22" t="str">
        <f t="shared" si="1"/>
        <v>·</v>
      </c>
      <c r="J11" s="23"/>
      <c r="K11" s="24"/>
      <c r="L11" s="24"/>
      <c r="N11" s="21" t="str">
        <f t="shared" si="2"/>
        <v>·</v>
      </c>
      <c r="O11" s="22" t="str">
        <f t="shared" si="3"/>
        <v>·</v>
      </c>
      <c r="P11" s="23"/>
      <c r="Q11" s="24"/>
      <c r="R11" s="24"/>
      <c r="T11" s="25" t="e">
        <f t="shared" si="4"/>
        <v>#VALUE!</v>
      </c>
    </row>
    <row r="12" spans="1:20" collapsed="1" x14ac:dyDescent="0.25">
      <c r="A12" s="26"/>
      <c r="B12" s="26" t="s">
        <v>184</v>
      </c>
      <c r="C12" s="26">
        <v>9000000</v>
      </c>
      <c r="D12" s="27">
        <v>12</v>
      </c>
      <c r="E12" s="28">
        <v>300</v>
      </c>
      <c r="F12" s="28">
        <v>30</v>
      </c>
      <c r="H12" s="29" t="str">
        <f t="shared" si="0"/>
        <v>·</v>
      </c>
      <c r="I12" s="30" t="str">
        <f t="shared" si="1"/>
        <v>·</v>
      </c>
      <c r="J12" s="31"/>
      <c r="K12" s="32"/>
      <c r="L12" s="32"/>
      <c r="N12" s="29" t="str">
        <f t="shared" si="2"/>
        <v>·</v>
      </c>
      <c r="O12" s="30" t="str">
        <f t="shared" si="3"/>
        <v>·</v>
      </c>
      <c r="P12" s="31"/>
      <c r="Q12" s="32"/>
      <c r="R12" s="32"/>
      <c r="T12" s="33" t="e">
        <f t="shared" si="4"/>
        <v>#VALUE!</v>
      </c>
    </row>
    <row r="13" spans="1:20" x14ac:dyDescent="0.25">
      <c r="B13" s="42" t="s">
        <v>187</v>
      </c>
      <c r="I13" s="43" t="e">
        <f>AVERAGE(I5:I6)</f>
        <v>#DIV/0!</v>
      </c>
      <c r="O13" s="43" t="e">
        <f>AVERAGE(O5:O6)</f>
        <v>#DIV/0!</v>
      </c>
      <c r="T13" s="6" t="e">
        <f t="shared" si="4"/>
        <v>#DIV/0!</v>
      </c>
    </row>
    <row r="14" spans="1:20" x14ac:dyDescent="0.25">
      <c r="B14" s="42" t="s">
        <v>188</v>
      </c>
      <c r="I14" s="43" t="e">
        <f>AVERAGE(I7:I8)</f>
        <v>#DIV/0!</v>
      </c>
      <c r="O14" s="43" t="e">
        <f>AVERAGE(O7:O8)</f>
        <v>#DIV/0!</v>
      </c>
      <c r="T14" s="6" t="e">
        <f t="shared" si="4"/>
        <v>#DIV/0!</v>
      </c>
    </row>
    <row r="15" spans="1:20" x14ac:dyDescent="0.25">
      <c r="B15" s="42" t="s">
        <v>189</v>
      </c>
      <c r="I15" s="43" t="e">
        <f>AVERAGE(I9:I12)</f>
        <v>#DIV/0!</v>
      </c>
      <c r="O15" s="43" t="e">
        <f>AVERAGE(O9:O12)</f>
        <v>#DIV/0!</v>
      </c>
      <c r="T15" s="6" t="e">
        <f t="shared" si="4"/>
        <v>#DIV/0!</v>
      </c>
    </row>
    <row r="16" spans="1:20" x14ac:dyDescent="0.25">
      <c r="B16" s="42" t="s">
        <v>190</v>
      </c>
      <c r="I16" s="43" t="e">
        <f>AVERAGE(I5:I12)</f>
        <v>#DIV/0!</v>
      </c>
      <c r="O16" s="43" t="e">
        <f>AVERAGE(O5:O12)</f>
        <v>#DIV/0!</v>
      </c>
      <c r="T16" s="6" t="e">
        <f t="shared" si="4"/>
        <v>#DIV/0!</v>
      </c>
    </row>
    <row r="17" spans="1:18" x14ac:dyDescent="0.25">
      <c r="A17" s="42" t="s">
        <v>191</v>
      </c>
      <c r="B17" s="42" t="s">
        <v>192</v>
      </c>
      <c r="K17" s="44">
        <f>SUM(K5:K6,K7:K8,K9:K12)</f>
        <v>0</v>
      </c>
      <c r="L17" s="44">
        <f>SUM(L5:L6,L7:L8,L9:L12)</f>
        <v>0</v>
      </c>
      <c r="Q17" s="44">
        <f>SUM(Q5:Q6,Q7:Q8,Q9:Q12)</f>
        <v>0</v>
      </c>
      <c r="R17" s="44">
        <f>SUM(R5:R6,R7:R8,R9:R12)</f>
        <v>0</v>
      </c>
    </row>
    <row r="18" spans="1:18" x14ac:dyDescent="0.25">
      <c r="B18" s="42" t="s">
        <v>193</v>
      </c>
      <c r="Q18" s="9" t="e">
        <f>Q17/K17</f>
        <v>#DIV/0!</v>
      </c>
      <c r="R18" s="9" t="e">
        <f>R17/L17</f>
        <v>#DIV/0!</v>
      </c>
    </row>
  </sheetData>
  <mergeCells count="20">
    <mergeCell ref="B2:B3"/>
    <mergeCell ref="C2:C3"/>
    <mergeCell ref="D2:D3"/>
    <mergeCell ref="E2:E3"/>
    <mergeCell ref="R2:R3"/>
    <mergeCell ref="T2:T3"/>
    <mergeCell ref="A1:F1"/>
    <mergeCell ref="H1:L1"/>
    <mergeCell ref="N1:R1"/>
    <mergeCell ref="L2:L3"/>
    <mergeCell ref="N2:N3"/>
    <mergeCell ref="O2:O3"/>
    <mergeCell ref="P2:P3"/>
    <mergeCell ref="Q2:Q3"/>
    <mergeCell ref="F2:F3"/>
    <mergeCell ref="H2:H3"/>
    <mergeCell ref="I2:I3"/>
    <mergeCell ref="J2:J3"/>
    <mergeCell ref="K2:K3"/>
    <mergeCell ref="A2:A3"/>
  </mergeCells>
  <conditionalFormatting sqref="T5 T6 T7 T8 T9 T10 T11 T12 T13 T14 T15 T16">
    <cfRule type="cellIs" dxfId="33" priority="1" operator="greaterThanOrEqual">
      <formula>1.03</formula>
    </cfRule>
    <cfRule type="cellIs" dxfId="32" priority="2" operator="lessThanOrEqual">
      <formula>0.97</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N131"/>
  <sheetViews>
    <sheetView workbookViewId="0"/>
  </sheetViews>
  <sheetFormatPr defaultColWidth="9.140625" defaultRowHeight="15" x14ac:dyDescent="0.25"/>
  <cols>
    <col min="1" max="1" width="41.7109375" bestFit="1" customWidth="1"/>
  </cols>
  <sheetData>
    <row r="1" spans="1:2" x14ac:dyDescent="0.25">
      <c r="A1" t="s">
        <v>116</v>
      </c>
      <c r="B1">
        <v>1</v>
      </c>
    </row>
    <row r="2" spans="1:2" x14ac:dyDescent="0.25">
      <c r="A2" t="s">
        <v>119</v>
      </c>
      <c r="B2">
        <v>2</v>
      </c>
    </row>
    <row r="3" spans="1:2" x14ac:dyDescent="0.25">
      <c r="A3" t="s">
        <v>122</v>
      </c>
      <c r="B3">
        <v>3</v>
      </c>
    </row>
    <row r="4" spans="1:2" x14ac:dyDescent="0.25">
      <c r="A4" t="s">
        <v>125</v>
      </c>
      <c r="B4">
        <v>4</v>
      </c>
    </row>
    <row r="5" spans="1:2" x14ac:dyDescent="0.25">
      <c r="A5" t="s">
        <v>128</v>
      </c>
      <c r="B5">
        <v>5</v>
      </c>
    </row>
    <row r="6" spans="1:2" x14ac:dyDescent="0.25">
      <c r="A6" t="s">
        <v>131</v>
      </c>
      <c r="B6">
        <v>6</v>
      </c>
    </row>
    <row r="7" spans="1:2" x14ac:dyDescent="0.25">
      <c r="A7" t="s">
        <v>133</v>
      </c>
      <c r="B7">
        <v>8</v>
      </c>
    </row>
    <row r="8" spans="1:2" x14ac:dyDescent="0.25">
      <c r="A8" t="s">
        <v>135</v>
      </c>
      <c r="B8">
        <v>9</v>
      </c>
    </row>
    <row r="9" spans="1:2" x14ac:dyDescent="0.25">
      <c r="A9" t="s">
        <v>137</v>
      </c>
      <c r="B9">
        <v>10</v>
      </c>
    </row>
    <row r="10" spans="1:2" x14ac:dyDescent="0.25">
      <c r="A10" t="s">
        <v>139</v>
      </c>
      <c r="B10">
        <v>11</v>
      </c>
    </row>
    <row r="11" spans="1:2" x14ac:dyDescent="0.25">
      <c r="A11" t="s">
        <v>141</v>
      </c>
      <c r="B11">
        <v>12</v>
      </c>
    </row>
    <row r="12" spans="1:2" x14ac:dyDescent="0.25">
      <c r="A12" t="s">
        <v>143</v>
      </c>
      <c r="B12">
        <v>14</v>
      </c>
    </row>
    <row r="13" spans="1:2" x14ac:dyDescent="0.25">
      <c r="A13" t="s">
        <v>145</v>
      </c>
      <c r="B13">
        <v>15</v>
      </c>
    </row>
    <row r="14" spans="1:2" x14ac:dyDescent="0.25">
      <c r="A14" t="s">
        <v>147</v>
      </c>
      <c r="B14">
        <v>16</v>
      </c>
    </row>
    <row r="15" spans="1:2" x14ac:dyDescent="0.25">
      <c r="A15" t="s">
        <v>149</v>
      </c>
      <c r="B15">
        <v>17</v>
      </c>
    </row>
    <row r="16" spans="1:2" x14ac:dyDescent="0.25">
      <c r="A16" t="s">
        <v>151</v>
      </c>
      <c r="B16">
        <v>18</v>
      </c>
    </row>
    <row r="17" spans="1:2" x14ac:dyDescent="0.25">
      <c r="A17" t="s">
        <v>154</v>
      </c>
      <c r="B17">
        <v>20</v>
      </c>
    </row>
    <row r="18" spans="1:2" x14ac:dyDescent="0.25">
      <c r="A18" t="s">
        <v>156</v>
      </c>
      <c r="B18" t="s">
        <v>157</v>
      </c>
    </row>
    <row r="19" spans="1:2" x14ac:dyDescent="0.25">
      <c r="A19" t="s">
        <v>158</v>
      </c>
      <c r="B19" t="s">
        <v>159</v>
      </c>
    </row>
    <row r="20" spans="1:2" x14ac:dyDescent="0.25">
      <c r="A20" t="s">
        <v>162</v>
      </c>
      <c r="B20" t="s">
        <v>163</v>
      </c>
    </row>
    <row r="21" spans="1:2" x14ac:dyDescent="0.25">
      <c r="A21" t="s">
        <v>165</v>
      </c>
      <c r="B21" t="s">
        <v>166</v>
      </c>
    </row>
    <row r="22" spans="1:2" x14ac:dyDescent="0.25">
      <c r="A22" t="s">
        <v>169</v>
      </c>
      <c r="B22" t="s">
        <v>170</v>
      </c>
    </row>
    <row r="23" spans="1:2" x14ac:dyDescent="0.25">
      <c r="A23" t="s">
        <v>172</v>
      </c>
      <c r="B23" t="s">
        <v>173</v>
      </c>
    </row>
    <row r="24" spans="1:2" x14ac:dyDescent="0.25">
      <c r="A24" t="s">
        <v>176</v>
      </c>
      <c r="B24" t="s">
        <v>177</v>
      </c>
    </row>
    <row r="25" spans="1:2" x14ac:dyDescent="0.25">
      <c r="A25" t="s">
        <v>179</v>
      </c>
      <c r="B25" t="s">
        <v>180</v>
      </c>
    </row>
    <row r="26" spans="1:2" x14ac:dyDescent="0.25">
      <c r="A26" t="s">
        <v>182</v>
      </c>
      <c r="B26" t="s">
        <v>183</v>
      </c>
    </row>
    <row r="27" spans="1:2" x14ac:dyDescent="0.25">
      <c r="A27" t="s">
        <v>185</v>
      </c>
      <c r="B27" t="s">
        <v>186</v>
      </c>
    </row>
    <row r="28" spans="1:2" x14ac:dyDescent="0.25">
      <c r="A28" t="s">
        <v>201</v>
      </c>
      <c r="B28">
        <v>1</v>
      </c>
    </row>
    <row r="29" spans="1:2" x14ac:dyDescent="0.25">
      <c r="A29" t="s">
        <v>202</v>
      </c>
      <c r="B29">
        <v>2</v>
      </c>
    </row>
    <row r="30" spans="1:2" x14ac:dyDescent="0.25">
      <c r="A30" t="s">
        <v>205</v>
      </c>
      <c r="B30">
        <v>3</v>
      </c>
    </row>
    <row r="31" spans="1:2" x14ac:dyDescent="0.25">
      <c r="A31" t="s">
        <v>206</v>
      </c>
      <c r="B31">
        <v>4</v>
      </c>
    </row>
    <row r="32" spans="1:2" x14ac:dyDescent="0.25">
      <c r="A32" t="s">
        <v>207</v>
      </c>
      <c r="B32">
        <v>5</v>
      </c>
    </row>
    <row r="33" spans="1:2" x14ac:dyDescent="0.25">
      <c r="A33" t="s">
        <v>208</v>
      </c>
      <c r="B33">
        <v>6</v>
      </c>
    </row>
    <row r="34" spans="1:2" x14ac:dyDescent="0.25">
      <c r="A34" t="s">
        <v>209</v>
      </c>
      <c r="B34">
        <v>7</v>
      </c>
    </row>
    <row r="35" spans="1:2" x14ac:dyDescent="0.25">
      <c r="A35" t="s">
        <v>212</v>
      </c>
      <c r="B35">
        <v>8</v>
      </c>
    </row>
    <row r="36" spans="1:2" x14ac:dyDescent="0.25">
      <c r="A36" t="s">
        <v>213</v>
      </c>
      <c r="B36">
        <v>10</v>
      </c>
    </row>
    <row r="37" spans="1:2" x14ac:dyDescent="0.25">
      <c r="A37" t="s">
        <v>214</v>
      </c>
      <c r="B37">
        <v>11</v>
      </c>
    </row>
    <row r="38" spans="1:2" x14ac:dyDescent="0.25">
      <c r="A38" t="s">
        <v>216</v>
      </c>
      <c r="B38">
        <v>12</v>
      </c>
    </row>
    <row r="39" spans="1:2" x14ac:dyDescent="0.25">
      <c r="A39" t="s">
        <v>217</v>
      </c>
      <c r="B39">
        <v>13</v>
      </c>
    </row>
    <row r="40" spans="1:2" x14ac:dyDescent="0.25">
      <c r="A40" t="s">
        <v>221</v>
      </c>
      <c r="B40">
        <v>14</v>
      </c>
    </row>
    <row r="41" spans="1:2" x14ac:dyDescent="0.25">
      <c r="A41" t="s">
        <v>224</v>
      </c>
      <c r="B41">
        <v>15</v>
      </c>
    </row>
    <row r="42" spans="1:2" x14ac:dyDescent="0.25">
      <c r="A42" t="s">
        <v>227</v>
      </c>
      <c r="B42">
        <v>16</v>
      </c>
    </row>
    <row r="43" spans="1:2" x14ac:dyDescent="0.25">
      <c r="A43" t="s">
        <v>230</v>
      </c>
      <c r="B43">
        <v>17</v>
      </c>
    </row>
    <row r="44" spans="1:2" x14ac:dyDescent="0.25">
      <c r="A44" t="s">
        <v>233</v>
      </c>
      <c r="B44">
        <v>18</v>
      </c>
    </row>
    <row r="45" spans="1:2" x14ac:dyDescent="0.25">
      <c r="A45" t="s">
        <v>237</v>
      </c>
      <c r="B45">
        <v>19</v>
      </c>
    </row>
    <row r="46" spans="1:2" x14ac:dyDescent="0.25">
      <c r="A46" t="s">
        <v>239</v>
      </c>
      <c r="B46">
        <v>20</v>
      </c>
    </row>
    <row r="47" spans="1:2" x14ac:dyDescent="0.25">
      <c r="A47" t="s">
        <v>240</v>
      </c>
      <c r="B47">
        <v>21</v>
      </c>
    </row>
    <row r="48" spans="1:2" x14ac:dyDescent="0.25">
      <c r="A48" t="s">
        <v>241</v>
      </c>
      <c r="B48">
        <v>22</v>
      </c>
    </row>
    <row r="49" spans="1:2" x14ac:dyDescent="0.25">
      <c r="A49" t="s">
        <v>242</v>
      </c>
      <c r="B49">
        <v>24</v>
      </c>
    </row>
    <row r="50" spans="1:2" x14ac:dyDescent="0.25">
      <c r="A50" t="s">
        <v>243</v>
      </c>
      <c r="B50">
        <v>25</v>
      </c>
    </row>
    <row r="51" spans="1:2" x14ac:dyDescent="0.25">
      <c r="A51" t="s">
        <v>245</v>
      </c>
      <c r="B51">
        <v>26</v>
      </c>
    </row>
    <row r="52" spans="1:2" x14ac:dyDescent="0.25">
      <c r="A52" t="s">
        <v>246</v>
      </c>
      <c r="B52">
        <v>27</v>
      </c>
    </row>
    <row r="53" spans="1:2" x14ac:dyDescent="0.25">
      <c r="A53" t="s">
        <v>248</v>
      </c>
      <c r="B53">
        <v>28</v>
      </c>
    </row>
    <row r="54" spans="1:2" x14ac:dyDescent="0.25">
      <c r="A54" t="s">
        <v>250</v>
      </c>
      <c r="B54">
        <v>29</v>
      </c>
    </row>
    <row r="55" spans="1:2" x14ac:dyDescent="0.25">
      <c r="A55" t="s">
        <v>252</v>
      </c>
      <c r="B55">
        <v>30</v>
      </c>
    </row>
    <row r="56" spans="1:2" x14ac:dyDescent="0.25">
      <c r="A56" t="s">
        <v>254</v>
      </c>
      <c r="B56">
        <v>31</v>
      </c>
    </row>
    <row r="57" spans="1:2" x14ac:dyDescent="0.25">
      <c r="A57" t="s">
        <v>256</v>
      </c>
      <c r="B57">
        <v>32</v>
      </c>
    </row>
    <row r="58" spans="1:2" x14ac:dyDescent="0.25">
      <c r="A58" t="s">
        <v>258</v>
      </c>
      <c r="B58">
        <v>33</v>
      </c>
    </row>
    <row r="59" spans="1:2" x14ac:dyDescent="0.25">
      <c r="A59" t="s">
        <v>260</v>
      </c>
      <c r="B59">
        <v>34</v>
      </c>
    </row>
    <row r="60" spans="1:2" x14ac:dyDescent="0.25">
      <c r="A60" t="s">
        <v>261</v>
      </c>
      <c r="B60">
        <v>35</v>
      </c>
    </row>
    <row r="61" spans="1:2" x14ac:dyDescent="0.25">
      <c r="A61" t="s">
        <v>262</v>
      </c>
      <c r="B61">
        <v>36</v>
      </c>
    </row>
    <row r="62" spans="1:2" x14ac:dyDescent="0.25">
      <c r="A62" t="s">
        <v>265</v>
      </c>
      <c r="B62">
        <v>38</v>
      </c>
    </row>
    <row r="63" spans="1:2" x14ac:dyDescent="0.25">
      <c r="A63" t="s">
        <v>267</v>
      </c>
      <c r="B63">
        <v>39</v>
      </c>
    </row>
    <row r="64" spans="1:2" x14ac:dyDescent="0.25">
      <c r="A64" t="s">
        <v>269</v>
      </c>
      <c r="B64">
        <v>40</v>
      </c>
    </row>
    <row r="65" spans="1:14" x14ac:dyDescent="0.25">
      <c r="A65" t="s">
        <v>271</v>
      </c>
      <c r="B65">
        <v>41</v>
      </c>
    </row>
    <row r="66" spans="1:14" x14ac:dyDescent="0.25">
      <c r="A66" t="s">
        <v>273</v>
      </c>
      <c r="B66">
        <v>42</v>
      </c>
    </row>
    <row r="67" spans="1:14" x14ac:dyDescent="0.25">
      <c r="A67" t="s">
        <v>276</v>
      </c>
      <c r="B67">
        <v>43</v>
      </c>
    </row>
    <row r="68" spans="1:14" x14ac:dyDescent="0.25">
      <c r="A68" t="s">
        <v>278</v>
      </c>
      <c r="B68">
        <v>44</v>
      </c>
    </row>
    <row r="69" spans="1:14" x14ac:dyDescent="0.25">
      <c r="A69" t="s">
        <v>280</v>
      </c>
      <c r="B69" t="s">
        <v>281</v>
      </c>
    </row>
    <row r="70" spans="1:14" x14ac:dyDescent="0.25">
      <c r="A70" t="s">
        <v>282</v>
      </c>
      <c r="B70" t="s">
        <v>283</v>
      </c>
    </row>
    <row r="71" spans="1:14" x14ac:dyDescent="0.25">
      <c r="A71" t="s">
        <v>289</v>
      </c>
      <c r="B71" t="s">
        <v>290</v>
      </c>
    </row>
    <row r="72" spans="1:14" x14ac:dyDescent="0.25">
      <c r="A72" t="s">
        <v>291</v>
      </c>
      <c r="B72" t="s">
        <v>292</v>
      </c>
    </row>
    <row r="73" spans="1:14" x14ac:dyDescent="0.25">
      <c r="A73" t="s">
        <v>293</v>
      </c>
      <c r="B73" t="s">
        <v>294</v>
      </c>
    </row>
    <row r="74" spans="1:14" x14ac:dyDescent="0.25">
      <c r="A74" t="s">
        <v>295</v>
      </c>
      <c r="B74" t="s">
        <v>296</v>
      </c>
    </row>
    <row r="75" spans="1:14" x14ac:dyDescent="0.25">
      <c r="A75" t="s">
        <v>297</v>
      </c>
      <c r="B75" t="s">
        <v>298</v>
      </c>
    </row>
    <row r="76" spans="1:14" x14ac:dyDescent="0.25">
      <c r="A76" t="s">
        <v>299</v>
      </c>
      <c r="B76" t="s">
        <v>300</v>
      </c>
    </row>
    <row r="77" spans="1:14" x14ac:dyDescent="0.25">
      <c r="A77" t="s">
        <v>301</v>
      </c>
      <c r="B77" t="s">
        <v>302</v>
      </c>
    </row>
    <row r="78" spans="1:14" x14ac:dyDescent="0.25">
      <c r="A78" t="s">
        <v>303</v>
      </c>
      <c r="B78" t="s">
        <v>304</v>
      </c>
    </row>
    <row r="79" spans="1:14" x14ac:dyDescent="0.25">
      <c r="A79" t="s">
        <v>308</v>
      </c>
      <c r="B79" t="s">
        <v>39</v>
      </c>
      <c r="C79" t="s">
        <v>41</v>
      </c>
      <c r="D79" t="s">
        <v>25</v>
      </c>
      <c r="E79" t="s">
        <v>81</v>
      </c>
      <c r="F79" t="s">
        <v>73</v>
      </c>
      <c r="G79" t="s">
        <v>37</v>
      </c>
      <c r="H79" t="s">
        <v>35</v>
      </c>
      <c r="I79" t="s">
        <v>29</v>
      </c>
      <c r="J79" t="s">
        <v>75</v>
      </c>
      <c r="K79" t="s">
        <v>43</v>
      </c>
      <c r="L79" t="s">
        <v>55</v>
      </c>
      <c r="M79" t="s">
        <v>23</v>
      </c>
      <c r="N79" t="s">
        <v>85</v>
      </c>
    </row>
    <row r="80" spans="1:14" x14ac:dyDescent="0.25">
      <c r="A80" t="s">
        <v>310</v>
      </c>
      <c r="B80">
        <v>1</v>
      </c>
    </row>
    <row r="81" spans="1:2" x14ac:dyDescent="0.25">
      <c r="A81" t="s">
        <v>311</v>
      </c>
      <c r="B81">
        <v>2</v>
      </c>
    </row>
    <row r="82" spans="1:2" x14ac:dyDescent="0.25">
      <c r="A82" t="s">
        <v>312</v>
      </c>
      <c r="B82">
        <v>3</v>
      </c>
    </row>
    <row r="83" spans="1:2" x14ac:dyDescent="0.25">
      <c r="A83" t="s">
        <v>313</v>
      </c>
      <c r="B83">
        <v>4</v>
      </c>
    </row>
    <row r="84" spans="1:2" x14ac:dyDescent="0.25">
      <c r="A84" t="s">
        <v>314</v>
      </c>
      <c r="B84">
        <v>5</v>
      </c>
    </row>
    <row r="85" spans="1:2" x14ac:dyDescent="0.25">
      <c r="A85" t="s">
        <v>315</v>
      </c>
      <c r="B85">
        <v>6</v>
      </c>
    </row>
    <row r="86" spans="1:2" x14ac:dyDescent="0.25">
      <c r="A86" t="s">
        <v>316</v>
      </c>
      <c r="B86">
        <v>7</v>
      </c>
    </row>
    <row r="87" spans="1:2" x14ac:dyDescent="0.25">
      <c r="A87" t="s">
        <v>317</v>
      </c>
      <c r="B87">
        <v>8</v>
      </c>
    </row>
    <row r="88" spans="1:2" x14ac:dyDescent="0.25">
      <c r="A88" t="s">
        <v>318</v>
      </c>
      <c r="B88">
        <v>10</v>
      </c>
    </row>
    <row r="89" spans="1:2" x14ac:dyDescent="0.25">
      <c r="A89" t="s">
        <v>319</v>
      </c>
      <c r="B89">
        <v>11</v>
      </c>
    </row>
    <row r="90" spans="1:2" x14ac:dyDescent="0.25">
      <c r="A90" t="s">
        <v>320</v>
      </c>
      <c r="B90">
        <v>12</v>
      </c>
    </row>
    <row r="91" spans="1:2" x14ac:dyDescent="0.25">
      <c r="A91" t="s">
        <v>321</v>
      </c>
      <c r="B91">
        <v>13</v>
      </c>
    </row>
    <row r="92" spans="1:2" x14ac:dyDescent="0.25">
      <c r="A92" t="s">
        <v>322</v>
      </c>
      <c r="B92">
        <v>14</v>
      </c>
    </row>
    <row r="93" spans="1:2" x14ac:dyDescent="0.25">
      <c r="A93" t="s">
        <v>323</v>
      </c>
      <c r="B93">
        <v>15</v>
      </c>
    </row>
    <row r="94" spans="1:2" x14ac:dyDescent="0.25">
      <c r="A94" t="s">
        <v>324</v>
      </c>
      <c r="B94">
        <v>16</v>
      </c>
    </row>
    <row r="95" spans="1:2" x14ac:dyDescent="0.25">
      <c r="A95" t="s">
        <v>325</v>
      </c>
      <c r="B95">
        <v>17</v>
      </c>
    </row>
    <row r="96" spans="1:2" x14ac:dyDescent="0.25">
      <c r="A96" t="s">
        <v>326</v>
      </c>
      <c r="B96">
        <v>18</v>
      </c>
    </row>
    <row r="97" spans="1:2" x14ac:dyDescent="0.25">
      <c r="A97" t="s">
        <v>327</v>
      </c>
      <c r="B97">
        <v>19</v>
      </c>
    </row>
    <row r="98" spans="1:2" x14ac:dyDescent="0.25">
      <c r="A98" t="s">
        <v>328</v>
      </c>
      <c r="B98">
        <v>20</v>
      </c>
    </row>
    <row r="99" spans="1:2" x14ac:dyDescent="0.25">
      <c r="A99" t="s">
        <v>329</v>
      </c>
      <c r="B99">
        <v>21</v>
      </c>
    </row>
    <row r="100" spans="1:2" x14ac:dyDescent="0.25">
      <c r="A100" t="s">
        <v>330</v>
      </c>
      <c r="B100">
        <v>22</v>
      </c>
    </row>
    <row r="101" spans="1:2" x14ac:dyDescent="0.25">
      <c r="A101" t="s">
        <v>331</v>
      </c>
      <c r="B101">
        <v>24</v>
      </c>
    </row>
    <row r="102" spans="1:2" x14ac:dyDescent="0.25">
      <c r="A102" t="s">
        <v>332</v>
      </c>
      <c r="B102">
        <v>25</v>
      </c>
    </row>
    <row r="103" spans="1:2" x14ac:dyDescent="0.25">
      <c r="A103" t="s">
        <v>333</v>
      </c>
      <c r="B103">
        <v>26</v>
      </c>
    </row>
    <row r="104" spans="1:2" x14ac:dyDescent="0.25">
      <c r="A104" t="s">
        <v>334</v>
      </c>
      <c r="B104">
        <v>27</v>
      </c>
    </row>
    <row r="105" spans="1:2" x14ac:dyDescent="0.25">
      <c r="A105" t="s">
        <v>335</v>
      </c>
      <c r="B105">
        <v>28</v>
      </c>
    </row>
    <row r="106" spans="1:2" x14ac:dyDescent="0.25">
      <c r="A106" t="s">
        <v>336</v>
      </c>
      <c r="B106">
        <v>29</v>
      </c>
    </row>
    <row r="107" spans="1:2" x14ac:dyDescent="0.25">
      <c r="A107" t="s">
        <v>337</v>
      </c>
      <c r="B107">
        <v>30</v>
      </c>
    </row>
    <row r="108" spans="1:2" x14ac:dyDescent="0.25">
      <c r="A108" t="s">
        <v>338</v>
      </c>
      <c r="B108">
        <v>31</v>
      </c>
    </row>
    <row r="109" spans="1:2" x14ac:dyDescent="0.25">
      <c r="A109" t="s">
        <v>339</v>
      </c>
      <c r="B109">
        <v>32</v>
      </c>
    </row>
    <row r="110" spans="1:2" x14ac:dyDescent="0.25">
      <c r="A110" t="s">
        <v>340</v>
      </c>
      <c r="B110">
        <v>33</v>
      </c>
    </row>
    <row r="111" spans="1:2" x14ac:dyDescent="0.25">
      <c r="A111" t="s">
        <v>341</v>
      </c>
      <c r="B111">
        <v>34</v>
      </c>
    </row>
    <row r="112" spans="1:2" x14ac:dyDescent="0.25">
      <c r="A112" t="s">
        <v>342</v>
      </c>
      <c r="B112">
        <v>35</v>
      </c>
    </row>
    <row r="113" spans="1:2" x14ac:dyDescent="0.25">
      <c r="A113" t="s">
        <v>343</v>
      </c>
      <c r="B113">
        <v>36</v>
      </c>
    </row>
    <row r="114" spans="1:2" x14ac:dyDescent="0.25">
      <c r="A114" t="s">
        <v>344</v>
      </c>
      <c r="B114">
        <v>38</v>
      </c>
    </row>
    <row r="115" spans="1:2" x14ac:dyDescent="0.25">
      <c r="A115" t="s">
        <v>345</v>
      </c>
      <c r="B115">
        <v>39</v>
      </c>
    </row>
    <row r="116" spans="1:2" x14ac:dyDescent="0.25">
      <c r="A116" t="s">
        <v>346</v>
      </c>
      <c r="B116">
        <v>40</v>
      </c>
    </row>
    <row r="117" spans="1:2" x14ac:dyDescent="0.25">
      <c r="A117" t="s">
        <v>347</v>
      </c>
      <c r="B117">
        <v>41</v>
      </c>
    </row>
    <row r="118" spans="1:2" x14ac:dyDescent="0.25">
      <c r="A118" t="s">
        <v>348</v>
      </c>
      <c r="B118">
        <v>42</v>
      </c>
    </row>
    <row r="119" spans="1:2" x14ac:dyDescent="0.25">
      <c r="A119" t="s">
        <v>349</v>
      </c>
      <c r="B119">
        <v>43</v>
      </c>
    </row>
    <row r="120" spans="1:2" x14ac:dyDescent="0.25">
      <c r="A120" t="s">
        <v>350</v>
      </c>
      <c r="B120">
        <v>44</v>
      </c>
    </row>
    <row r="121" spans="1:2" x14ac:dyDescent="0.25">
      <c r="A121" t="s">
        <v>352</v>
      </c>
      <c r="B121" t="s">
        <v>353</v>
      </c>
    </row>
    <row r="122" spans="1:2" x14ac:dyDescent="0.25">
      <c r="A122" t="s">
        <v>354</v>
      </c>
      <c r="B122" t="s">
        <v>355</v>
      </c>
    </row>
    <row r="123" spans="1:2" x14ac:dyDescent="0.25">
      <c r="A123" t="s">
        <v>356</v>
      </c>
      <c r="B123" t="s">
        <v>357</v>
      </c>
    </row>
    <row r="124" spans="1:2" x14ac:dyDescent="0.25">
      <c r="A124" t="s">
        <v>358</v>
      </c>
      <c r="B124" t="s">
        <v>359</v>
      </c>
    </row>
    <row r="125" spans="1:2" x14ac:dyDescent="0.25">
      <c r="A125" t="s">
        <v>360</v>
      </c>
      <c r="B125" t="s">
        <v>361</v>
      </c>
    </row>
    <row r="126" spans="1:2" x14ac:dyDescent="0.25">
      <c r="A126" t="s">
        <v>362</v>
      </c>
      <c r="B126" t="s">
        <v>363</v>
      </c>
    </row>
    <row r="127" spans="1:2" x14ac:dyDescent="0.25">
      <c r="A127" t="s">
        <v>364</v>
      </c>
      <c r="B127" t="s">
        <v>365</v>
      </c>
    </row>
    <row r="128" spans="1:2" x14ac:dyDescent="0.25">
      <c r="A128" t="s">
        <v>366</v>
      </c>
      <c r="B128" t="s">
        <v>367</v>
      </c>
    </row>
    <row r="129" spans="1:14" x14ac:dyDescent="0.25">
      <c r="A129" t="s">
        <v>368</v>
      </c>
      <c r="B129" t="s">
        <v>369</v>
      </c>
    </row>
    <row r="130" spans="1:14" x14ac:dyDescent="0.25">
      <c r="A130" t="s">
        <v>370</v>
      </c>
      <c r="B130" t="s">
        <v>371</v>
      </c>
    </row>
    <row r="131" spans="1:14" x14ac:dyDescent="0.25">
      <c r="A131" t="s">
        <v>376</v>
      </c>
      <c r="B131" t="s">
        <v>43</v>
      </c>
      <c r="C131" t="s">
        <v>55</v>
      </c>
      <c r="D131" t="s">
        <v>23</v>
      </c>
      <c r="E131" t="s">
        <v>85</v>
      </c>
      <c r="F131" t="s">
        <v>39</v>
      </c>
      <c r="G131" t="s">
        <v>41</v>
      </c>
      <c r="H131" t="s">
        <v>25</v>
      </c>
      <c r="I131" t="s">
        <v>81</v>
      </c>
      <c r="J131" t="s">
        <v>37</v>
      </c>
      <c r="K131" t="s">
        <v>73</v>
      </c>
      <c r="L131" t="s">
        <v>35</v>
      </c>
      <c r="M131" t="s">
        <v>29</v>
      </c>
      <c r="N131" t="s">
        <v>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AR50"/>
  <sheetViews>
    <sheetView zoomScale="55" zoomScaleNormal="55" workbookViewId="0">
      <pane xSplit="2" ySplit="4" topLeftCell="H5" activePane="bottomRight" state="frozen"/>
      <selection pane="topRight" activeCell="C1" sqref="C1"/>
      <selection pane="bottomLeft" activeCell="A5" sqref="A5"/>
      <selection pane="bottomRight" sqref="A1:H1"/>
    </sheetView>
  </sheetViews>
  <sheetFormatPr defaultColWidth="9.140625" defaultRowHeight="15" outlineLevelRow="1" x14ac:dyDescent="0.25"/>
  <cols>
    <col min="2" max="2" width="24.7109375" customWidth="1"/>
    <col min="4" max="5" width="10.7109375" customWidth="1"/>
    <col min="9" max="9" width="1.7109375" customWidth="1"/>
    <col min="11" max="12" width="10.7109375" customWidth="1"/>
    <col min="13" max="13" width="12.7109375" customWidth="1"/>
    <col min="14" max="20" width="11.7109375" customWidth="1"/>
    <col min="23" max="23" width="1.7109375" customWidth="1"/>
    <col min="25" max="26" width="10.7109375" customWidth="1"/>
    <col min="27" max="27" width="12.7109375" customWidth="1"/>
    <col min="28" max="34" width="11.7109375" customWidth="1"/>
    <col min="37" max="37" width="1.7109375" customWidth="1"/>
    <col min="40" max="44" width="11.7109375" customWidth="1"/>
    <col min="45" max="45" width="1.7109375" customWidth="1"/>
  </cols>
  <sheetData>
    <row r="1" spans="1:44" x14ac:dyDescent="0.25">
      <c r="A1" s="71" t="s">
        <v>279</v>
      </c>
      <c r="B1" s="71"/>
      <c r="C1" s="71"/>
      <c r="D1" s="71"/>
      <c r="E1" s="71"/>
      <c r="F1" s="71"/>
      <c r="G1" s="71"/>
      <c r="H1" s="71"/>
      <c r="J1" s="61" t="str">
        <f>Summary!C1</f>
        <v>anchor</v>
      </c>
      <c r="K1" s="61"/>
      <c r="L1" s="61"/>
      <c r="M1" s="61"/>
      <c r="N1" s="61"/>
      <c r="O1" s="61"/>
      <c r="P1" s="61"/>
      <c r="Q1" s="61"/>
      <c r="R1" s="61"/>
      <c r="S1" s="61"/>
      <c r="T1" s="61"/>
      <c r="U1" s="61"/>
      <c r="V1" s="61"/>
      <c r="X1" s="62" t="str">
        <f>Summary!C2</f>
        <v>proposal</v>
      </c>
      <c r="Y1" s="62"/>
      <c r="Z1" s="62"/>
      <c r="AA1" s="62"/>
      <c r="AB1" s="62"/>
      <c r="AC1" s="62"/>
      <c r="AD1" s="62"/>
      <c r="AE1" s="62"/>
      <c r="AF1" s="62"/>
      <c r="AG1" s="62"/>
      <c r="AH1" s="62"/>
      <c r="AI1" s="62"/>
      <c r="AJ1" s="62"/>
    </row>
    <row r="2" spans="1:44" ht="30" customHeight="1" x14ac:dyDescent="0.25">
      <c r="A2" s="70" t="s">
        <v>114</v>
      </c>
      <c r="B2" s="69" t="s">
        <v>117</v>
      </c>
      <c r="C2" s="70" t="s">
        <v>203</v>
      </c>
      <c r="D2" s="69" t="s">
        <v>120</v>
      </c>
      <c r="E2" s="70" t="s">
        <v>123</v>
      </c>
      <c r="F2" s="69" t="s">
        <v>126</v>
      </c>
      <c r="G2" s="70" t="s">
        <v>129</v>
      </c>
      <c r="H2" s="69" t="s">
        <v>210</v>
      </c>
      <c r="J2" s="70" t="s">
        <v>82</v>
      </c>
      <c r="K2" s="69" t="s">
        <v>86</v>
      </c>
      <c r="L2" s="70" t="s">
        <v>30</v>
      </c>
      <c r="M2" s="69" t="s">
        <v>74</v>
      </c>
      <c r="N2" s="72" t="s">
        <v>218</v>
      </c>
      <c r="O2" s="72"/>
      <c r="P2" s="72"/>
      <c r="Q2" s="72"/>
      <c r="R2" s="72"/>
      <c r="S2" s="73" t="s">
        <v>234</v>
      </c>
      <c r="T2" s="73"/>
      <c r="U2" s="70" t="s">
        <v>76</v>
      </c>
      <c r="V2" s="69" t="s">
        <v>56</v>
      </c>
      <c r="X2" s="70" t="s">
        <v>82</v>
      </c>
      <c r="Y2" s="69" t="s">
        <v>86</v>
      </c>
      <c r="Z2" s="70" t="s">
        <v>30</v>
      </c>
      <c r="AA2" s="69" t="s">
        <v>74</v>
      </c>
      <c r="AB2" s="72" t="s">
        <v>218</v>
      </c>
      <c r="AC2" s="72"/>
      <c r="AD2" s="72"/>
      <c r="AE2" s="72"/>
      <c r="AF2" s="72"/>
      <c r="AG2" s="73" t="s">
        <v>234</v>
      </c>
      <c r="AH2" s="73"/>
      <c r="AI2" s="70" t="s">
        <v>76</v>
      </c>
      <c r="AJ2" s="69" t="s">
        <v>56</v>
      </c>
      <c r="AL2" s="72" t="s">
        <v>263</v>
      </c>
      <c r="AM2" s="72"/>
      <c r="AN2" s="72"/>
      <c r="AO2" s="72"/>
      <c r="AP2" s="72"/>
      <c r="AQ2" s="73" t="s">
        <v>274</v>
      </c>
      <c r="AR2" s="73"/>
    </row>
    <row r="3" spans="1:44" ht="15.75" thickBot="1" x14ac:dyDescent="0.3">
      <c r="A3" s="70"/>
      <c r="B3" s="69"/>
      <c r="C3" s="70"/>
      <c r="D3" s="69"/>
      <c r="E3" s="70"/>
      <c r="F3" s="69"/>
      <c r="G3" s="70"/>
      <c r="H3" s="69"/>
      <c r="J3" s="70"/>
      <c r="K3" s="69"/>
      <c r="L3" s="70"/>
      <c r="M3" s="69"/>
      <c r="N3" s="14" t="s">
        <v>219</v>
      </c>
      <c r="O3" s="14" t="s">
        <v>222</v>
      </c>
      <c r="P3" s="14" t="s">
        <v>225</v>
      </c>
      <c r="Q3" s="14" t="s">
        <v>228</v>
      </c>
      <c r="R3" s="14" t="s">
        <v>231</v>
      </c>
      <c r="S3" s="15" t="s">
        <v>235</v>
      </c>
      <c r="T3" s="15" t="s">
        <v>225</v>
      </c>
      <c r="U3" s="70"/>
      <c r="V3" s="69"/>
      <c r="X3" s="70"/>
      <c r="Y3" s="69"/>
      <c r="Z3" s="70"/>
      <c r="AA3" s="69"/>
      <c r="AB3" s="14" t="s">
        <v>219</v>
      </c>
      <c r="AC3" s="14" t="s">
        <v>222</v>
      </c>
      <c r="AD3" s="14" t="s">
        <v>225</v>
      </c>
      <c r="AE3" s="14" t="s">
        <v>228</v>
      </c>
      <c r="AF3" s="14" t="s">
        <v>231</v>
      </c>
      <c r="AG3" s="15" t="s">
        <v>235</v>
      </c>
      <c r="AH3" s="15" t="s">
        <v>225</v>
      </c>
      <c r="AI3" s="70"/>
      <c r="AJ3" s="69"/>
      <c r="AL3" s="14" t="s">
        <v>219</v>
      </c>
      <c r="AM3" s="14" t="s">
        <v>222</v>
      </c>
      <c r="AN3" s="14" t="s">
        <v>225</v>
      </c>
      <c r="AO3" s="14" t="s">
        <v>228</v>
      </c>
      <c r="AP3" s="14" t="s">
        <v>231</v>
      </c>
      <c r="AQ3" s="15" t="s">
        <v>235</v>
      </c>
      <c r="AR3" s="15" t="s">
        <v>225</v>
      </c>
    </row>
    <row r="4" spans="1:44" ht="53.25" hidden="1" x14ac:dyDescent="0.25">
      <c r="A4" s="16" t="s">
        <v>115</v>
      </c>
      <c r="B4" s="17" t="s">
        <v>118</v>
      </c>
      <c r="C4" s="16" t="s">
        <v>204</v>
      </c>
      <c r="D4" s="17" t="s">
        <v>121</v>
      </c>
      <c r="E4" s="16" t="s">
        <v>124</v>
      </c>
      <c r="F4" s="17" t="s">
        <v>127</v>
      </c>
      <c r="G4" s="16" t="s">
        <v>130</v>
      </c>
      <c r="H4" s="17" t="s">
        <v>211</v>
      </c>
      <c r="J4" s="16" t="s">
        <v>132</v>
      </c>
      <c r="K4" s="17" t="s">
        <v>134</v>
      </c>
      <c r="L4" s="16" t="s">
        <v>215</v>
      </c>
      <c r="M4" s="17" t="s">
        <v>136</v>
      </c>
      <c r="N4" s="16" t="s">
        <v>220</v>
      </c>
      <c r="O4" s="16" t="s">
        <v>223</v>
      </c>
      <c r="P4" s="16" t="s">
        <v>226</v>
      </c>
      <c r="Q4" s="16" t="s">
        <v>229</v>
      </c>
      <c r="R4" s="16" t="s">
        <v>232</v>
      </c>
      <c r="S4" s="17" t="s">
        <v>236</v>
      </c>
      <c r="T4" s="17" t="s">
        <v>238</v>
      </c>
      <c r="U4" s="16" t="s">
        <v>138</v>
      </c>
      <c r="V4" s="17" t="s">
        <v>140</v>
      </c>
      <c r="X4" s="16" t="s">
        <v>142</v>
      </c>
      <c r="Y4" s="17" t="s">
        <v>144</v>
      </c>
      <c r="Z4" s="16" t="s">
        <v>244</v>
      </c>
      <c r="AA4" s="17" t="s">
        <v>146</v>
      </c>
      <c r="AB4" s="16" t="s">
        <v>247</v>
      </c>
      <c r="AC4" s="16" t="s">
        <v>249</v>
      </c>
      <c r="AD4" s="16" t="s">
        <v>251</v>
      </c>
      <c r="AE4" s="16" t="s">
        <v>253</v>
      </c>
      <c r="AF4" s="16" t="s">
        <v>255</v>
      </c>
      <c r="AG4" s="17" t="s">
        <v>257</v>
      </c>
      <c r="AH4" s="17" t="s">
        <v>259</v>
      </c>
      <c r="AI4" s="16" t="s">
        <v>148</v>
      </c>
      <c r="AJ4" s="17" t="s">
        <v>150</v>
      </c>
      <c r="AL4" s="16" t="s">
        <v>264</v>
      </c>
      <c r="AM4" s="16" t="s">
        <v>266</v>
      </c>
      <c r="AN4" s="16" t="s">
        <v>268</v>
      </c>
      <c r="AO4" s="16" t="s">
        <v>270</v>
      </c>
      <c r="AP4" s="16" t="s">
        <v>272</v>
      </c>
      <c r="AQ4" s="17" t="s">
        <v>275</v>
      </c>
      <c r="AR4" s="17" t="s">
        <v>277</v>
      </c>
    </row>
    <row r="5" spans="1:44" x14ac:dyDescent="0.25">
      <c r="A5" s="18" t="s">
        <v>161</v>
      </c>
      <c r="B5" s="18" t="s">
        <v>160</v>
      </c>
      <c r="C5" s="20" t="s">
        <v>284</v>
      </c>
      <c r="D5" s="18">
        <v>11997440</v>
      </c>
      <c r="E5" s="19">
        <v>10</v>
      </c>
      <c r="F5" s="20">
        <v>300</v>
      </c>
      <c r="G5" s="20">
        <v>30</v>
      </c>
      <c r="H5" s="20">
        <v>4</v>
      </c>
      <c r="J5" s="21" t="str">
        <f t="shared" ref="J5:J44" si="0">IF(OR(ISBLANK(M5),ISBLANK(G5)),"·",M5*G5/F5/1000000)</f>
        <v>·</v>
      </c>
      <c r="K5" s="22" t="str">
        <f t="shared" ref="K5:K44" si="1">IF(ISBLANK(M5),"·",M5/D5)</f>
        <v>·</v>
      </c>
      <c r="L5" s="45"/>
      <c r="M5" s="23"/>
      <c r="N5" s="46"/>
      <c r="O5" s="46"/>
      <c r="P5" s="46"/>
      <c r="Q5" s="46"/>
      <c r="R5" s="46"/>
      <c r="S5" s="46"/>
      <c r="T5" s="46"/>
      <c r="U5" s="24"/>
      <c r="V5" s="24"/>
      <c r="X5" s="21" t="str">
        <f t="shared" ref="X5:X44" si="2">IF(OR(ISBLANK(AA5),ISBLANK(G5)),"·",AA5*G5/F5/1000000)</f>
        <v>·</v>
      </c>
      <c r="Y5" s="22" t="str">
        <f t="shared" ref="Y5:Y44" si="3">IF(ISBLANK(AA5),"·",AA5/D5)</f>
        <v>·</v>
      </c>
      <c r="Z5" s="45"/>
      <c r="AA5" s="23"/>
      <c r="AB5" s="46"/>
      <c r="AC5" s="46"/>
      <c r="AD5" s="46"/>
      <c r="AE5" s="46"/>
      <c r="AF5" s="46"/>
      <c r="AG5" s="46"/>
      <c r="AH5" s="46"/>
      <c r="AI5" s="24"/>
      <c r="AJ5" s="24"/>
      <c r="AL5" s="25" t="str">
        <f t="array" ref="AL5">IF( OR(AND(ISBLANK(M5:M9)),AND(ISBLANK(AA5:AA9)), AND(ISBLANK(N5:N9)),AND(ISBLANK(AB5:AB9))), "·", bdRateExtend( M5:M9,N5:N9, AA5:AA9,AB5:AB9))</f>
        <v>·</v>
      </c>
      <c r="AM5" s="25" t="str">
        <f t="array" ref="AM5">IF( OR(AND(ISBLANK(M5:M9)),AND(ISBLANK(AA5:AA9)), AND(ISBLANK(O5:O9)),AND(ISBLANK(AC5:AC9))), "·", bdRateExtend( M5:M9,O5:O9, AA5:AA9,AC5:AC9))</f>
        <v>·</v>
      </c>
      <c r="AN5" s="25" t="str">
        <f t="array" ref="AN5">IF( OR(AND(ISBLANK(M5:M9)),AND(ISBLANK(AA5:AA9)), AND(ISBLANK(P5:P9)),AND(ISBLANK(AD5:AD9))), "·", bdRateExtend( M5:M9,P5:P9, AA5:AA9,AD5:AD9))</f>
        <v>·</v>
      </c>
      <c r="AO5" s="25" t="str">
        <f t="array" ref="AO5">IF( OR(AND(ISBLANK(M5:M9)),AND(ISBLANK(AA5:AA9)), AND(ISBLANK(Q5:Q9)),AND(ISBLANK(AE5:AE9))), "·", bdRateExtend( M5:M9,Q5:Q9, AA5:AA9,AE5:AE9))</f>
        <v>·</v>
      </c>
      <c r="AP5" s="25" t="str">
        <f t="array" ref="AP5">IF( OR(AND(ISBLANK(M5:M9)),AND(ISBLANK(AA5:AA9)), AND(ISBLANK(R5:R9)),AND(ISBLANK(AF5:AF9))), "·", bdRateExtend( M5:M9,R5:R9, AA5:AA9,AF5:AF9))</f>
        <v>·</v>
      </c>
      <c r="AQ5" s="25" t="str">
        <f t="array" ref="AQ5">IF( OR(AND(ISBLANK(M5:M9)),AND(ISBLANK(AA5:AA9)), AND(ISBLANK(S5:S9)),AND(ISBLANK(AG5:AG9))), "·", bdRateExtend( M5:M9,S5:S9, AA5:AA9,AG5:AG9))</f>
        <v>·</v>
      </c>
      <c r="AR5" s="25" t="str">
        <f t="array" ref="AR5">IF( OR(AND(ISBLANK(M5:M9)),AND(ISBLANK(AA5:AA9)), AND(ISBLANK(T5:T9)),AND(ISBLANK(AH5:AH9))), "·", bdRateExtend( M5:M9,T5:T9, AA5:AA9,AH5:AH9))</f>
        <v>·</v>
      </c>
    </row>
    <row r="6" spans="1:44" outlineLevel="1" x14ac:dyDescent="0.25">
      <c r="A6" s="34"/>
      <c r="B6" s="34" t="s">
        <v>160</v>
      </c>
      <c r="C6" s="36" t="s">
        <v>285</v>
      </c>
      <c r="D6" s="34">
        <v>11997440</v>
      </c>
      <c r="E6" s="35">
        <v>10</v>
      </c>
      <c r="F6" s="36">
        <v>300</v>
      </c>
      <c r="G6" s="36">
        <v>30</v>
      </c>
      <c r="H6" s="36">
        <v>9</v>
      </c>
      <c r="J6" s="37" t="str">
        <f t="shared" si="0"/>
        <v>·</v>
      </c>
      <c r="K6" s="38" t="str">
        <f t="shared" si="1"/>
        <v>·</v>
      </c>
      <c r="L6" s="47"/>
      <c r="M6" s="39"/>
      <c r="N6" s="48"/>
      <c r="O6" s="48"/>
      <c r="P6" s="48"/>
      <c r="Q6" s="48"/>
      <c r="R6" s="48"/>
      <c r="S6" s="48"/>
      <c r="T6" s="48"/>
      <c r="U6" s="40"/>
      <c r="V6" s="40"/>
      <c r="X6" s="37" t="str">
        <f t="shared" si="2"/>
        <v>·</v>
      </c>
      <c r="Y6" s="38" t="str">
        <f t="shared" si="3"/>
        <v>·</v>
      </c>
      <c r="Z6" s="47"/>
      <c r="AA6" s="39"/>
      <c r="AB6" s="48"/>
      <c r="AC6" s="48"/>
      <c r="AD6" s="48"/>
      <c r="AE6" s="48"/>
      <c r="AF6" s="48"/>
      <c r="AG6" s="48"/>
      <c r="AH6" s="48"/>
      <c r="AI6" s="40"/>
      <c r="AJ6" s="40"/>
      <c r="AL6" s="41"/>
      <c r="AM6" s="41"/>
      <c r="AN6" s="41"/>
      <c r="AO6" s="41"/>
      <c r="AP6" s="41"/>
      <c r="AQ6" s="41"/>
      <c r="AR6" s="41"/>
    </row>
    <row r="7" spans="1:44" outlineLevel="1" x14ac:dyDescent="0.25">
      <c r="A7" s="18"/>
      <c r="B7" s="18" t="s">
        <v>160</v>
      </c>
      <c r="C7" s="20" t="s">
        <v>286</v>
      </c>
      <c r="D7" s="18">
        <v>11997440</v>
      </c>
      <c r="E7" s="19">
        <v>10</v>
      </c>
      <c r="F7" s="20">
        <v>300</v>
      </c>
      <c r="G7" s="20">
        <v>30</v>
      </c>
      <c r="H7" s="20">
        <v>12</v>
      </c>
      <c r="J7" s="21" t="str">
        <f t="shared" si="0"/>
        <v>·</v>
      </c>
      <c r="K7" s="22" t="str">
        <f t="shared" si="1"/>
        <v>·</v>
      </c>
      <c r="L7" s="45"/>
      <c r="M7" s="23"/>
      <c r="N7" s="46"/>
      <c r="O7" s="46"/>
      <c r="P7" s="46"/>
      <c r="Q7" s="46"/>
      <c r="R7" s="46"/>
      <c r="S7" s="46"/>
      <c r="T7" s="46"/>
      <c r="U7" s="24"/>
      <c r="V7" s="24"/>
      <c r="X7" s="21" t="str">
        <f t="shared" si="2"/>
        <v>·</v>
      </c>
      <c r="Y7" s="22" t="str">
        <f t="shared" si="3"/>
        <v>·</v>
      </c>
      <c r="Z7" s="45"/>
      <c r="AA7" s="23"/>
      <c r="AB7" s="46"/>
      <c r="AC7" s="46"/>
      <c r="AD7" s="46"/>
      <c r="AE7" s="46"/>
      <c r="AF7" s="46"/>
      <c r="AG7" s="46"/>
      <c r="AH7" s="46"/>
      <c r="AI7" s="24"/>
      <c r="AJ7" s="24"/>
      <c r="AL7" s="25"/>
      <c r="AM7" s="25"/>
      <c r="AN7" s="25"/>
      <c r="AO7" s="25"/>
      <c r="AP7" s="25"/>
      <c r="AQ7" s="25"/>
      <c r="AR7" s="25"/>
    </row>
    <row r="8" spans="1:44" outlineLevel="1" x14ac:dyDescent="0.25">
      <c r="A8" s="34"/>
      <c r="B8" s="34" t="s">
        <v>160</v>
      </c>
      <c r="C8" s="36" t="s">
        <v>287</v>
      </c>
      <c r="D8" s="34">
        <v>11997440</v>
      </c>
      <c r="E8" s="35">
        <v>10</v>
      </c>
      <c r="F8" s="36">
        <v>300</v>
      </c>
      <c r="G8" s="36">
        <v>30</v>
      </c>
      <c r="H8" s="36">
        <v>15</v>
      </c>
      <c r="J8" s="37" t="str">
        <f t="shared" si="0"/>
        <v>·</v>
      </c>
      <c r="K8" s="38" t="str">
        <f t="shared" si="1"/>
        <v>·</v>
      </c>
      <c r="L8" s="47"/>
      <c r="M8" s="39"/>
      <c r="N8" s="48"/>
      <c r="O8" s="48"/>
      <c r="P8" s="48"/>
      <c r="Q8" s="48"/>
      <c r="R8" s="48"/>
      <c r="S8" s="48"/>
      <c r="T8" s="48"/>
      <c r="U8" s="40"/>
      <c r="V8" s="40"/>
      <c r="X8" s="37" t="str">
        <f t="shared" si="2"/>
        <v>·</v>
      </c>
      <c r="Y8" s="38" t="str">
        <f t="shared" si="3"/>
        <v>·</v>
      </c>
      <c r="Z8" s="47"/>
      <c r="AA8" s="39"/>
      <c r="AB8" s="48"/>
      <c r="AC8" s="48"/>
      <c r="AD8" s="48"/>
      <c r="AE8" s="48"/>
      <c r="AF8" s="48"/>
      <c r="AG8" s="48"/>
      <c r="AH8" s="48"/>
      <c r="AI8" s="40"/>
      <c r="AJ8" s="40"/>
      <c r="AL8" s="41"/>
      <c r="AM8" s="41"/>
      <c r="AN8" s="41"/>
      <c r="AO8" s="41"/>
      <c r="AP8" s="41"/>
      <c r="AQ8" s="41"/>
      <c r="AR8" s="41"/>
    </row>
    <row r="9" spans="1:44" ht="15.75" outlineLevel="1" thickBot="1" x14ac:dyDescent="0.3">
      <c r="A9" s="18"/>
      <c r="B9" s="49" t="s">
        <v>160</v>
      </c>
      <c r="C9" s="50" t="s">
        <v>288</v>
      </c>
      <c r="D9" s="49">
        <v>11997440</v>
      </c>
      <c r="E9" s="51">
        <v>10</v>
      </c>
      <c r="F9" s="50">
        <v>300</v>
      </c>
      <c r="G9" s="50">
        <v>30</v>
      </c>
      <c r="H9" s="50">
        <v>22</v>
      </c>
      <c r="J9" s="52" t="str">
        <f t="shared" si="0"/>
        <v>·</v>
      </c>
      <c r="K9" s="53" t="str">
        <f t="shared" si="1"/>
        <v>·</v>
      </c>
      <c r="L9" s="54"/>
      <c r="M9" s="55"/>
      <c r="N9" s="56"/>
      <c r="O9" s="56"/>
      <c r="P9" s="56"/>
      <c r="Q9" s="56"/>
      <c r="R9" s="56"/>
      <c r="S9" s="56"/>
      <c r="T9" s="56"/>
      <c r="U9" s="57"/>
      <c r="V9" s="57"/>
      <c r="X9" s="52" t="str">
        <f t="shared" si="2"/>
        <v>·</v>
      </c>
      <c r="Y9" s="53" t="str">
        <f t="shared" si="3"/>
        <v>·</v>
      </c>
      <c r="Z9" s="54"/>
      <c r="AA9" s="55"/>
      <c r="AB9" s="56"/>
      <c r="AC9" s="56"/>
      <c r="AD9" s="56"/>
      <c r="AE9" s="56"/>
      <c r="AF9" s="56"/>
      <c r="AG9" s="56"/>
      <c r="AH9" s="56"/>
      <c r="AI9" s="57"/>
      <c r="AJ9" s="57"/>
      <c r="AL9" s="58"/>
      <c r="AM9" s="58"/>
      <c r="AN9" s="58"/>
      <c r="AO9" s="58"/>
      <c r="AP9" s="58"/>
      <c r="AQ9" s="58"/>
      <c r="AR9" s="58"/>
    </row>
    <row r="10" spans="1:44" x14ac:dyDescent="0.25">
      <c r="A10" s="34"/>
      <c r="B10" s="34" t="s">
        <v>164</v>
      </c>
      <c r="C10" s="36" t="s">
        <v>284</v>
      </c>
      <c r="D10" s="34">
        <v>9000000</v>
      </c>
      <c r="E10" s="35">
        <v>10</v>
      </c>
      <c r="F10" s="36">
        <v>300</v>
      </c>
      <c r="G10" s="36">
        <v>30</v>
      </c>
      <c r="H10" s="36">
        <v>5</v>
      </c>
      <c r="J10" s="37" t="str">
        <f t="shared" si="0"/>
        <v>·</v>
      </c>
      <c r="K10" s="38" t="str">
        <f t="shared" si="1"/>
        <v>·</v>
      </c>
      <c r="L10" s="47"/>
      <c r="M10" s="39"/>
      <c r="N10" s="48"/>
      <c r="O10" s="48"/>
      <c r="P10" s="48"/>
      <c r="Q10" s="48"/>
      <c r="R10" s="48"/>
      <c r="S10" s="48"/>
      <c r="T10" s="48"/>
      <c r="U10" s="40"/>
      <c r="V10" s="40"/>
      <c r="X10" s="37" t="str">
        <f t="shared" si="2"/>
        <v>·</v>
      </c>
      <c r="Y10" s="38" t="str">
        <f t="shared" si="3"/>
        <v>·</v>
      </c>
      <c r="Z10" s="47"/>
      <c r="AA10" s="39"/>
      <c r="AB10" s="48"/>
      <c r="AC10" s="48"/>
      <c r="AD10" s="48"/>
      <c r="AE10" s="48"/>
      <c r="AF10" s="48"/>
      <c r="AG10" s="48"/>
      <c r="AH10" s="48"/>
      <c r="AI10" s="40"/>
      <c r="AJ10" s="40"/>
      <c r="AL10" s="41" t="str">
        <f t="array" ref="AL10">IF( OR(AND(ISBLANK(M10:M14)),AND(ISBLANK(AA10:AA14)), AND(ISBLANK(N10:N14)),AND(ISBLANK(AB10:AB14))), "·", bdRateExtend( M10:M14,N10:N14, AA10:AA14,AB10:AB14))</f>
        <v>·</v>
      </c>
      <c r="AM10" s="41" t="str">
        <f t="array" ref="AM10">IF( OR(AND(ISBLANK(M10:M14)),AND(ISBLANK(AA10:AA14)), AND(ISBLANK(O10:O14)),AND(ISBLANK(AC10:AC14))), "·", bdRateExtend( M10:M14,O10:O14, AA10:AA14,AC10:AC14))</f>
        <v>·</v>
      </c>
      <c r="AN10" s="41" t="str">
        <f t="array" ref="AN10">IF( OR(AND(ISBLANK(M10:M14)),AND(ISBLANK(AA10:AA14)), AND(ISBLANK(P10:P14)),AND(ISBLANK(AD10:AD14))), "·", bdRateExtend( M10:M14,P10:P14, AA10:AA14,AD10:AD14))</f>
        <v>·</v>
      </c>
      <c r="AO10" s="41" t="str">
        <f t="array" ref="AO10">IF( OR(AND(ISBLANK(M10:M14)),AND(ISBLANK(AA10:AA14)), AND(ISBLANK(Q10:Q14)),AND(ISBLANK(AE10:AE14))), "·", bdRateExtend( M10:M14,Q10:Q14, AA10:AA14,AE10:AE14))</f>
        <v>·</v>
      </c>
      <c r="AP10" s="41" t="str">
        <f t="array" ref="AP10">IF( OR(AND(ISBLANK(M10:M14)),AND(ISBLANK(AA10:AA14)), AND(ISBLANK(R10:R14)),AND(ISBLANK(AF10:AF14))), "·", bdRateExtend( M10:M14,R10:R14, AA10:AA14,AF10:AF14))</f>
        <v>·</v>
      </c>
      <c r="AQ10" s="41" t="str">
        <f t="array" ref="AQ10">IF( OR(AND(ISBLANK(M10:M14)),AND(ISBLANK(AA10:AA14)), AND(ISBLANK(S10:S14)),AND(ISBLANK(AG10:AG14))), "·", bdRateExtend( M10:M14,S10:S14, AA10:AA14,AG10:AG14))</f>
        <v>·</v>
      </c>
      <c r="AR10" s="41" t="str">
        <f t="array" ref="AR10">IF( OR(AND(ISBLANK(M10:M14)),AND(ISBLANK(AA10:AA14)), AND(ISBLANK(T10:T14)),AND(ISBLANK(AH10:AH14))), "·", bdRateExtend( M10:M14,T10:T14, AA10:AA14,AH10:AH14))</f>
        <v>·</v>
      </c>
    </row>
    <row r="11" spans="1:44" outlineLevel="1" x14ac:dyDescent="0.25">
      <c r="A11" s="18"/>
      <c r="B11" s="18" t="s">
        <v>164</v>
      </c>
      <c r="C11" s="20" t="s">
        <v>285</v>
      </c>
      <c r="D11" s="18">
        <v>9000000</v>
      </c>
      <c r="E11" s="19">
        <v>10</v>
      </c>
      <c r="F11" s="20">
        <v>300</v>
      </c>
      <c r="G11" s="20">
        <v>30</v>
      </c>
      <c r="H11" s="20">
        <v>9</v>
      </c>
      <c r="J11" s="21" t="str">
        <f t="shared" si="0"/>
        <v>·</v>
      </c>
      <c r="K11" s="22" t="str">
        <f t="shared" si="1"/>
        <v>·</v>
      </c>
      <c r="L11" s="45"/>
      <c r="M11" s="23"/>
      <c r="N11" s="46"/>
      <c r="O11" s="46"/>
      <c r="P11" s="46"/>
      <c r="Q11" s="46"/>
      <c r="R11" s="46"/>
      <c r="S11" s="46"/>
      <c r="T11" s="46"/>
      <c r="U11" s="24"/>
      <c r="V11" s="24"/>
      <c r="X11" s="21" t="str">
        <f t="shared" si="2"/>
        <v>·</v>
      </c>
      <c r="Y11" s="22" t="str">
        <f t="shared" si="3"/>
        <v>·</v>
      </c>
      <c r="Z11" s="45"/>
      <c r="AA11" s="23"/>
      <c r="AB11" s="46"/>
      <c r="AC11" s="46"/>
      <c r="AD11" s="46"/>
      <c r="AE11" s="46"/>
      <c r="AF11" s="46"/>
      <c r="AG11" s="46"/>
      <c r="AH11" s="46"/>
      <c r="AI11" s="24"/>
      <c r="AJ11" s="24"/>
      <c r="AL11" s="25"/>
      <c r="AM11" s="25"/>
      <c r="AN11" s="25"/>
      <c r="AO11" s="25"/>
      <c r="AP11" s="25"/>
      <c r="AQ11" s="25"/>
      <c r="AR11" s="25"/>
    </row>
    <row r="12" spans="1:44" outlineLevel="1" x14ac:dyDescent="0.25">
      <c r="A12" s="34"/>
      <c r="B12" s="34" t="s">
        <v>164</v>
      </c>
      <c r="C12" s="36" t="s">
        <v>286</v>
      </c>
      <c r="D12" s="34">
        <v>9000000</v>
      </c>
      <c r="E12" s="35">
        <v>10</v>
      </c>
      <c r="F12" s="36">
        <v>300</v>
      </c>
      <c r="G12" s="36">
        <v>30</v>
      </c>
      <c r="H12" s="36">
        <v>12</v>
      </c>
      <c r="J12" s="37" t="str">
        <f t="shared" si="0"/>
        <v>·</v>
      </c>
      <c r="K12" s="38" t="str">
        <f t="shared" si="1"/>
        <v>·</v>
      </c>
      <c r="L12" s="47"/>
      <c r="M12" s="39"/>
      <c r="N12" s="48"/>
      <c r="O12" s="48"/>
      <c r="P12" s="48"/>
      <c r="Q12" s="48"/>
      <c r="R12" s="48"/>
      <c r="S12" s="48"/>
      <c r="T12" s="48"/>
      <c r="U12" s="40"/>
      <c r="V12" s="40"/>
      <c r="X12" s="37" t="str">
        <f t="shared" si="2"/>
        <v>·</v>
      </c>
      <c r="Y12" s="38" t="str">
        <f t="shared" si="3"/>
        <v>·</v>
      </c>
      <c r="Z12" s="47"/>
      <c r="AA12" s="39"/>
      <c r="AB12" s="48"/>
      <c r="AC12" s="48"/>
      <c r="AD12" s="48"/>
      <c r="AE12" s="48"/>
      <c r="AF12" s="48"/>
      <c r="AG12" s="48"/>
      <c r="AH12" s="48"/>
      <c r="AI12" s="40"/>
      <c r="AJ12" s="40"/>
      <c r="AL12" s="41"/>
      <c r="AM12" s="41"/>
      <c r="AN12" s="41"/>
      <c r="AO12" s="41"/>
      <c r="AP12" s="41"/>
      <c r="AQ12" s="41"/>
      <c r="AR12" s="41"/>
    </row>
    <row r="13" spans="1:44" outlineLevel="1" x14ac:dyDescent="0.25">
      <c r="A13" s="18"/>
      <c r="B13" s="18" t="s">
        <v>164</v>
      </c>
      <c r="C13" s="20" t="s">
        <v>287</v>
      </c>
      <c r="D13" s="18">
        <v>9000000</v>
      </c>
      <c r="E13" s="19">
        <v>10</v>
      </c>
      <c r="F13" s="20">
        <v>300</v>
      </c>
      <c r="G13" s="20">
        <v>30</v>
      </c>
      <c r="H13" s="20">
        <v>15</v>
      </c>
      <c r="J13" s="21" t="str">
        <f t="shared" si="0"/>
        <v>·</v>
      </c>
      <c r="K13" s="22" t="str">
        <f t="shared" si="1"/>
        <v>·</v>
      </c>
      <c r="L13" s="45"/>
      <c r="M13" s="23"/>
      <c r="N13" s="46"/>
      <c r="O13" s="46"/>
      <c r="P13" s="46"/>
      <c r="Q13" s="46"/>
      <c r="R13" s="46"/>
      <c r="S13" s="46"/>
      <c r="T13" s="46"/>
      <c r="U13" s="24"/>
      <c r="V13" s="24"/>
      <c r="X13" s="21" t="str">
        <f t="shared" si="2"/>
        <v>·</v>
      </c>
      <c r="Y13" s="22" t="str">
        <f t="shared" si="3"/>
        <v>·</v>
      </c>
      <c r="Z13" s="45"/>
      <c r="AA13" s="23"/>
      <c r="AB13" s="46"/>
      <c r="AC13" s="46"/>
      <c r="AD13" s="46"/>
      <c r="AE13" s="46"/>
      <c r="AF13" s="46"/>
      <c r="AG13" s="46"/>
      <c r="AH13" s="46"/>
      <c r="AI13" s="24"/>
      <c r="AJ13" s="24"/>
      <c r="AL13" s="25"/>
      <c r="AM13" s="25"/>
      <c r="AN13" s="25"/>
      <c r="AO13" s="25"/>
      <c r="AP13" s="25"/>
      <c r="AQ13" s="25"/>
      <c r="AR13" s="25"/>
    </row>
    <row r="14" spans="1:44" ht="15.75" outlineLevel="1" thickBot="1" x14ac:dyDescent="0.3">
      <c r="A14" s="26"/>
      <c r="B14" s="26" t="s">
        <v>164</v>
      </c>
      <c r="C14" s="28" t="s">
        <v>288</v>
      </c>
      <c r="D14" s="26">
        <v>9000000</v>
      </c>
      <c r="E14" s="27">
        <v>10</v>
      </c>
      <c r="F14" s="28">
        <v>300</v>
      </c>
      <c r="G14" s="28">
        <v>30</v>
      </c>
      <c r="H14" s="28">
        <v>22</v>
      </c>
      <c r="J14" s="29" t="str">
        <f t="shared" si="0"/>
        <v>·</v>
      </c>
      <c r="K14" s="30" t="str">
        <f t="shared" si="1"/>
        <v>·</v>
      </c>
      <c r="L14" s="59"/>
      <c r="M14" s="31"/>
      <c r="N14" s="60"/>
      <c r="O14" s="60"/>
      <c r="P14" s="60"/>
      <c r="Q14" s="60"/>
      <c r="R14" s="60"/>
      <c r="S14" s="60"/>
      <c r="T14" s="60"/>
      <c r="U14" s="32"/>
      <c r="V14" s="32"/>
      <c r="X14" s="29" t="str">
        <f t="shared" si="2"/>
        <v>·</v>
      </c>
      <c r="Y14" s="30" t="str">
        <f t="shared" si="3"/>
        <v>·</v>
      </c>
      <c r="Z14" s="59"/>
      <c r="AA14" s="31"/>
      <c r="AB14" s="60"/>
      <c r="AC14" s="60"/>
      <c r="AD14" s="60"/>
      <c r="AE14" s="60"/>
      <c r="AF14" s="60"/>
      <c r="AG14" s="60"/>
      <c r="AH14" s="60"/>
      <c r="AI14" s="32"/>
      <c r="AJ14" s="32"/>
      <c r="AL14" s="33"/>
      <c r="AM14" s="33"/>
      <c r="AN14" s="33"/>
      <c r="AO14" s="33"/>
      <c r="AP14" s="33"/>
      <c r="AQ14" s="33"/>
      <c r="AR14" s="33"/>
    </row>
    <row r="15" spans="1:44" x14ac:dyDescent="0.25">
      <c r="A15" s="18" t="s">
        <v>168</v>
      </c>
      <c r="B15" s="18" t="s">
        <v>167</v>
      </c>
      <c r="C15" s="20" t="s">
        <v>284</v>
      </c>
      <c r="D15" s="18">
        <v>11842002</v>
      </c>
      <c r="E15" s="19">
        <v>12</v>
      </c>
      <c r="F15" s="20">
        <v>300</v>
      </c>
      <c r="G15" s="20">
        <v>30</v>
      </c>
      <c r="H15" s="20">
        <v>3</v>
      </c>
      <c r="J15" s="21" t="str">
        <f t="shared" si="0"/>
        <v>·</v>
      </c>
      <c r="K15" s="22" t="str">
        <f t="shared" si="1"/>
        <v>·</v>
      </c>
      <c r="L15" s="45"/>
      <c r="M15" s="23"/>
      <c r="N15" s="46"/>
      <c r="O15" s="46"/>
      <c r="P15" s="46"/>
      <c r="Q15" s="46"/>
      <c r="R15" s="46"/>
      <c r="S15" s="46"/>
      <c r="T15" s="46"/>
      <c r="U15" s="24"/>
      <c r="V15" s="24"/>
      <c r="X15" s="21" t="str">
        <f t="shared" si="2"/>
        <v>·</v>
      </c>
      <c r="Y15" s="22" t="str">
        <f t="shared" si="3"/>
        <v>·</v>
      </c>
      <c r="Z15" s="45"/>
      <c r="AA15" s="23"/>
      <c r="AB15" s="46"/>
      <c r="AC15" s="46"/>
      <c r="AD15" s="46"/>
      <c r="AE15" s="46"/>
      <c r="AF15" s="46"/>
      <c r="AG15" s="46"/>
      <c r="AH15" s="46"/>
      <c r="AI15" s="24"/>
      <c r="AJ15" s="24"/>
      <c r="AL15" s="25" t="str">
        <f t="array" ref="AL15">IF( OR(AND(ISBLANK(M15:M19)),AND(ISBLANK(AA15:AA19)), AND(ISBLANK(N15:N19)),AND(ISBLANK(AB15:AB19))), "·", bdRateExtend( M15:M19,N15:N19, AA15:AA19,AB15:AB19))</f>
        <v>·</v>
      </c>
      <c r="AM15" s="25" t="str">
        <f t="array" ref="AM15">IF( OR(AND(ISBLANK(M15:M19)),AND(ISBLANK(AA15:AA19)), AND(ISBLANK(O15:O19)),AND(ISBLANK(AC15:AC19))), "·", bdRateExtend( M15:M19,O15:O19, AA15:AA19,AC15:AC19))</f>
        <v>·</v>
      </c>
      <c r="AN15" s="25" t="str">
        <f t="array" ref="AN15">IF( OR(AND(ISBLANK(M15:M19)),AND(ISBLANK(AA15:AA19)), AND(ISBLANK(P15:P19)),AND(ISBLANK(AD15:AD19))), "·", bdRateExtend( M15:M19,P15:P19, AA15:AA19,AD15:AD19))</f>
        <v>·</v>
      </c>
      <c r="AO15" s="25" t="str">
        <f t="array" ref="AO15">IF( OR(AND(ISBLANK(M15:M19)),AND(ISBLANK(AA15:AA19)), AND(ISBLANK(Q15:Q19)),AND(ISBLANK(AE15:AE19))), "·", bdRateExtend( M15:M19,Q15:Q19, AA15:AA19,AE15:AE19))</f>
        <v>·</v>
      </c>
      <c r="AP15" s="25" t="str">
        <f t="array" ref="AP15">IF( OR(AND(ISBLANK(M15:M19)),AND(ISBLANK(AA15:AA19)), AND(ISBLANK(R15:R19)),AND(ISBLANK(AF15:AF19))), "·", bdRateExtend( M15:M19,R15:R19, AA15:AA19,AF15:AF19))</f>
        <v>·</v>
      </c>
      <c r="AQ15" s="25" t="str">
        <f t="array" ref="AQ15">IF( OR(AND(ISBLANK(M15:M19)),AND(ISBLANK(AA15:AA19)), AND(ISBLANK(S15:S19)),AND(ISBLANK(AG15:AG19))), "·", bdRateExtend( M15:M19,S15:S19, AA15:AA19,AG15:AG19))</f>
        <v>·</v>
      </c>
      <c r="AR15" s="25" t="str">
        <f t="array" ref="AR15">IF( OR(AND(ISBLANK(M15:M19)),AND(ISBLANK(AA15:AA19)), AND(ISBLANK(T15:T19)),AND(ISBLANK(AH15:AH19))), "·", bdRateExtend( M15:M19,T15:T19, AA15:AA19,AH15:AH19))</f>
        <v>·</v>
      </c>
    </row>
    <row r="16" spans="1:44" outlineLevel="1" x14ac:dyDescent="0.25">
      <c r="A16" s="34"/>
      <c r="B16" s="34" t="s">
        <v>167</v>
      </c>
      <c r="C16" s="36" t="s">
        <v>285</v>
      </c>
      <c r="D16" s="34">
        <v>11842002</v>
      </c>
      <c r="E16" s="35">
        <v>12</v>
      </c>
      <c r="F16" s="36">
        <v>300</v>
      </c>
      <c r="G16" s="36">
        <v>30</v>
      </c>
      <c r="H16" s="36">
        <v>5</v>
      </c>
      <c r="J16" s="37" t="str">
        <f t="shared" si="0"/>
        <v>·</v>
      </c>
      <c r="K16" s="38" t="str">
        <f t="shared" si="1"/>
        <v>·</v>
      </c>
      <c r="L16" s="47"/>
      <c r="M16" s="39"/>
      <c r="N16" s="48"/>
      <c r="O16" s="48"/>
      <c r="P16" s="48"/>
      <c r="Q16" s="48"/>
      <c r="R16" s="48"/>
      <c r="S16" s="48"/>
      <c r="T16" s="48"/>
      <c r="U16" s="40"/>
      <c r="V16" s="40"/>
      <c r="X16" s="37" t="str">
        <f t="shared" si="2"/>
        <v>·</v>
      </c>
      <c r="Y16" s="38" t="str">
        <f t="shared" si="3"/>
        <v>·</v>
      </c>
      <c r="Z16" s="47"/>
      <c r="AA16" s="39"/>
      <c r="AB16" s="48"/>
      <c r="AC16" s="48"/>
      <c r="AD16" s="48"/>
      <c r="AE16" s="48"/>
      <c r="AF16" s="48"/>
      <c r="AG16" s="48"/>
      <c r="AH16" s="48"/>
      <c r="AI16" s="40"/>
      <c r="AJ16" s="40"/>
      <c r="AL16" s="41"/>
      <c r="AM16" s="41"/>
      <c r="AN16" s="41"/>
      <c r="AO16" s="41"/>
      <c r="AP16" s="41"/>
      <c r="AQ16" s="41"/>
      <c r="AR16" s="41"/>
    </row>
    <row r="17" spans="1:44" outlineLevel="1" x14ac:dyDescent="0.25">
      <c r="A17" s="18"/>
      <c r="B17" s="18" t="s">
        <v>167</v>
      </c>
      <c r="C17" s="20" t="s">
        <v>286</v>
      </c>
      <c r="D17" s="18">
        <v>11842002</v>
      </c>
      <c r="E17" s="19">
        <v>12</v>
      </c>
      <c r="F17" s="20">
        <v>300</v>
      </c>
      <c r="G17" s="20">
        <v>30</v>
      </c>
      <c r="H17" s="20">
        <v>10</v>
      </c>
      <c r="J17" s="21" t="str">
        <f t="shared" si="0"/>
        <v>·</v>
      </c>
      <c r="K17" s="22" t="str">
        <f t="shared" si="1"/>
        <v>·</v>
      </c>
      <c r="L17" s="45"/>
      <c r="M17" s="23"/>
      <c r="N17" s="46"/>
      <c r="O17" s="46"/>
      <c r="P17" s="46"/>
      <c r="Q17" s="46"/>
      <c r="R17" s="46"/>
      <c r="S17" s="46"/>
      <c r="T17" s="46"/>
      <c r="U17" s="24"/>
      <c r="V17" s="24"/>
      <c r="X17" s="21" t="str">
        <f t="shared" si="2"/>
        <v>·</v>
      </c>
      <c r="Y17" s="22" t="str">
        <f t="shared" si="3"/>
        <v>·</v>
      </c>
      <c r="Z17" s="45"/>
      <c r="AA17" s="23"/>
      <c r="AB17" s="46"/>
      <c r="AC17" s="46"/>
      <c r="AD17" s="46"/>
      <c r="AE17" s="46"/>
      <c r="AF17" s="46"/>
      <c r="AG17" s="46"/>
      <c r="AH17" s="46"/>
      <c r="AI17" s="24"/>
      <c r="AJ17" s="24"/>
      <c r="AL17" s="25"/>
      <c r="AM17" s="25"/>
      <c r="AN17" s="25"/>
      <c r="AO17" s="25"/>
      <c r="AP17" s="25"/>
      <c r="AQ17" s="25"/>
      <c r="AR17" s="25"/>
    </row>
    <row r="18" spans="1:44" outlineLevel="1" x14ac:dyDescent="0.25">
      <c r="A18" s="34"/>
      <c r="B18" s="34" t="s">
        <v>167</v>
      </c>
      <c r="C18" s="36" t="s">
        <v>287</v>
      </c>
      <c r="D18" s="34">
        <v>11842002</v>
      </c>
      <c r="E18" s="35">
        <v>12</v>
      </c>
      <c r="F18" s="36">
        <v>300</v>
      </c>
      <c r="G18" s="36">
        <v>30</v>
      </c>
      <c r="H18" s="36">
        <v>14</v>
      </c>
      <c r="J18" s="37" t="str">
        <f t="shared" si="0"/>
        <v>·</v>
      </c>
      <c r="K18" s="38" t="str">
        <f t="shared" si="1"/>
        <v>·</v>
      </c>
      <c r="L18" s="47"/>
      <c r="M18" s="39"/>
      <c r="N18" s="48"/>
      <c r="O18" s="48"/>
      <c r="P18" s="48"/>
      <c r="Q18" s="48"/>
      <c r="R18" s="48"/>
      <c r="S18" s="48"/>
      <c r="T18" s="48"/>
      <c r="U18" s="40"/>
      <c r="V18" s="40"/>
      <c r="X18" s="37" t="str">
        <f t="shared" si="2"/>
        <v>·</v>
      </c>
      <c r="Y18" s="38" t="str">
        <f t="shared" si="3"/>
        <v>·</v>
      </c>
      <c r="Z18" s="47"/>
      <c r="AA18" s="39"/>
      <c r="AB18" s="48"/>
      <c r="AC18" s="48"/>
      <c r="AD18" s="48"/>
      <c r="AE18" s="48"/>
      <c r="AF18" s="48"/>
      <c r="AG18" s="48"/>
      <c r="AH18" s="48"/>
      <c r="AI18" s="40"/>
      <c r="AJ18" s="40"/>
      <c r="AL18" s="41"/>
      <c r="AM18" s="41"/>
      <c r="AN18" s="41"/>
      <c r="AO18" s="41"/>
      <c r="AP18" s="41"/>
      <c r="AQ18" s="41"/>
      <c r="AR18" s="41"/>
    </row>
    <row r="19" spans="1:44" ht="15.75" outlineLevel="1" thickBot="1" x14ac:dyDescent="0.3">
      <c r="A19" s="18"/>
      <c r="B19" s="49" t="s">
        <v>167</v>
      </c>
      <c r="C19" s="50" t="s">
        <v>288</v>
      </c>
      <c r="D19" s="49">
        <v>11842002</v>
      </c>
      <c r="E19" s="51">
        <v>12</v>
      </c>
      <c r="F19" s="50">
        <v>300</v>
      </c>
      <c r="G19" s="50">
        <v>30</v>
      </c>
      <c r="H19" s="50">
        <v>21</v>
      </c>
      <c r="J19" s="52" t="str">
        <f t="shared" si="0"/>
        <v>·</v>
      </c>
      <c r="K19" s="53" t="str">
        <f t="shared" si="1"/>
        <v>·</v>
      </c>
      <c r="L19" s="54"/>
      <c r="M19" s="55"/>
      <c r="N19" s="56"/>
      <c r="O19" s="56"/>
      <c r="P19" s="56"/>
      <c r="Q19" s="56"/>
      <c r="R19" s="56"/>
      <c r="S19" s="56"/>
      <c r="T19" s="56"/>
      <c r="U19" s="57"/>
      <c r="V19" s="57"/>
      <c r="X19" s="52" t="str">
        <f t="shared" si="2"/>
        <v>·</v>
      </c>
      <c r="Y19" s="53" t="str">
        <f t="shared" si="3"/>
        <v>·</v>
      </c>
      <c r="Z19" s="54"/>
      <c r="AA19" s="55"/>
      <c r="AB19" s="56"/>
      <c r="AC19" s="56"/>
      <c r="AD19" s="56"/>
      <c r="AE19" s="56"/>
      <c r="AF19" s="56"/>
      <c r="AG19" s="56"/>
      <c r="AH19" s="56"/>
      <c r="AI19" s="57"/>
      <c r="AJ19" s="57"/>
      <c r="AL19" s="58"/>
      <c r="AM19" s="58"/>
      <c r="AN19" s="58"/>
      <c r="AO19" s="58"/>
      <c r="AP19" s="58"/>
      <c r="AQ19" s="58"/>
      <c r="AR19" s="58"/>
    </row>
    <row r="20" spans="1:44" x14ac:dyDescent="0.25">
      <c r="A20" s="34"/>
      <c r="B20" s="34" t="s">
        <v>171</v>
      </c>
      <c r="C20" s="36" t="s">
        <v>284</v>
      </c>
      <c r="D20" s="34">
        <v>11812090</v>
      </c>
      <c r="E20" s="35">
        <v>12</v>
      </c>
      <c r="F20" s="36">
        <v>300</v>
      </c>
      <c r="G20" s="36">
        <v>30</v>
      </c>
      <c r="H20" s="36">
        <v>3</v>
      </c>
      <c r="J20" s="37" t="str">
        <f t="shared" si="0"/>
        <v>·</v>
      </c>
      <c r="K20" s="38" t="str">
        <f t="shared" si="1"/>
        <v>·</v>
      </c>
      <c r="L20" s="47"/>
      <c r="M20" s="39"/>
      <c r="N20" s="48"/>
      <c r="O20" s="48"/>
      <c r="P20" s="48"/>
      <c r="Q20" s="48"/>
      <c r="R20" s="48"/>
      <c r="S20" s="48"/>
      <c r="T20" s="48"/>
      <c r="U20" s="40"/>
      <c r="V20" s="40"/>
      <c r="X20" s="37" t="str">
        <f t="shared" si="2"/>
        <v>·</v>
      </c>
      <c r="Y20" s="38" t="str">
        <f t="shared" si="3"/>
        <v>·</v>
      </c>
      <c r="Z20" s="47"/>
      <c r="AA20" s="39"/>
      <c r="AB20" s="48"/>
      <c r="AC20" s="48"/>
      <c r="AD20" s="48"/>
      <c r="AE20" s="48"/>
      <c r="AF20" s="48"/>
      <c r="AG20" s="48"/>
      <c r="AH20" s="48"/>
      <c r="AI20" s="40"/>
      <c r="AJ20" s="40"/>
      <c r="AL20" s="41" t="str">
        <f t="array" ref="AL20">IF( OR(AND(ISBLANK(M20:M24)),AND(ISBLANK(AA20:AA24)), AND(ISBLANK(N20:N24)),AND(ISBLANK(AB20:AB24))), "·", bdRateExtend( M20:M24,N20:N24, AA20:AA24,AB20:AB24))</f>
        <v>·</v>
      </c>
      <c r="AM20" s="41" t="str">
        <f t="array" ref="AM20">IF( OR(AND(ISBLANK(M20:M24)),AND(ISBLANK(AA20:AA24)), AND(ISBLANK(O20:O24)),AND(ISBLANK(AC20:AC24))), "·", bdRateExtend( M20:M24,O20:O24, AA20:AA24,AC20:AC24))</f>
        <v>·</v>
      </c>
      <c r="AN20" s="41" t="str">
        <f t="array" ref="AN20">IF( OR(AND(ISBLANK(M20:M24)),AND(ISBLANK(AA20:AA24)), AND(ISBLANK(P20:P24)),AND(ISBLANK(AD20:AD24))), "·", bdRateExtend( M20:M24,P20:P24, AA20:AA24,AD20:AD24))</f>
        <v>·</v>
      </c>
      <c r="AO20" s="41" t="str">
        <f t="array" ref="AO20">IF( OR(AND(ISBLANK(M20:M24)),AND(ISBLANK(AA20:AA24)), AND(ISBLANK(Q20:Q24)),AND(ISBLANK(AE20:AE24))), "·", bdRateExtend( M20:M24,Q20:Q24, AA20:AA24,AE20:AE24))</f>
        <v>·</v>
      </c>
      <c r="AP20" s="41" t="str">
        <f t="array" ref="AP20">IF( OR(AND(ISBLANK(M20:M24)),AND(ISBLANK(AA20:AA24)), AND(ISBLANK(R20:R24)),AND(ISBLANK(AF20:AF24))), "·", bdRateExtend( M20:M24,R20:R24, AA20:AA24,AF20:AF24))</f>
        <v>·</v>
      </c>
      <c r="AQ20" s="41" t="str">
        <f t="array" ref="AQ20">IF( OR(AND(ISBLANK(M20:M24)),AND(ISBLANK(AA20:AA24)), AND(ISBLANK(S20:S24)),AND(ISBLANK(AG20:AG24))), "·", bdRateExtend( M20:M24,S20:S24, AA20:AA24,AG20:AG24))</f>
        <v>·</v>
      </c>
      <c r="AR20" s="41" t="str">
        <f t="array" ref="AR20">IF( OR(AND(ISBLANK(M20:M24)),AND(ISBLANK(AA20:AA24)), AND(ISBLANK(T20:T24)),AND(ISBLANK(AH20:AH24))), "·", bdRateExtend( M20:M24,T20:T24, AA20:AA24,AH20:AH24))</f>
        <v>·</v>
      </c>
    </row>
    <row r="21" spans="1:44" outlineLevel="1" x14ac:dyDescent="0.25">
      <c r="A21" s="18"/>
      <c r="B21" s="18" t="s">
        <v>171</v>
      </c>
      <c r="C21" s="20" t="s">
        <v>285</v>
      </c>
      <c r="D21" s="18">
        <v>11812090</v>
      </c>
      <c r="E21" s="19">
        <v>12</v>
      </c>
      <c r="F21" s="20">
        <v>300</v>
      </c>
      <c r="G21" s="20">
        <v>30</v>
      </c>
      <c r="H21" s="20">
        <v>5</v>
      </c>
      <c r="J21" s="21" t="str">
        <f t="shared" si="0"/>
        <v>·</v>
      </c>
      <c r="K21" s="22" t="str">
        <f t="shared" si="1"/>
        <v>·</v>
      </c>
      <c r="L21" s="45"/>
      <c r="M21" s="23"/>
      <c r="N21" s="46"/>
      <c r="O21" s="46"/>
      <c r="P21" s="46"/>
      <c r="Q21" s="46"/>
      <c r="R21" s="46"/>
      <c r="S21" s="46"/>
      <c r="T21" s="46"/>
      <c r="U21" s="24"/>
      <c r="V21" s="24"/>
      <c r="X21" s="21" t="str">
        <f t="shared" si="2"/>
        <v>·</v>
      </c>
      <c r="Y21" s="22" t="str">
        <f t="shared" si="3"/>
        <v>·</v>
      </c>
      <c r="Z21" s="45"/>
      <c r="AA21" s="23"/>
      <c r="AB21" s="46"/>
      <c r="AC21" s="46"/>
      <c r="AD21" s="46"/>
      <c r="AE21" s="46"/>
      <c r="AF21" s="46"/>
      <c r="AG21" s="46"/>
      <c r="AH21" s="46"/>
      <c r="AI21" s="24"/>
      <c r="AJ21" s="24"/>
      <c r="AL21" s="25"/>
      <c r="AM21" s="25"/>
      <c r="AN21" s="25"/>
      <c r="AO21" s="25"/>
      <c r="AP21" s="25"/>
      <c r="AQ21" s="25"/>
      <c r="AR21" s="25"/>
    </row>
    <row r="22" spans="1:44" outlineLevel="1" x14ac:dyDescent="0.25">
      <c r="A22" s="34"/>
      <c r="B22" s="34" t="s">
        <v>171</v>
      </c>
      <c r="C22" s="36" t="s">
        <v>286</v>
      </c>
      <c r="D22" s="34">
        <v>11812090</v>
      </c>
      <c r="E22" s="35">
        <v>12</v>
      </c>
      <c r="F22" s="36">
        <v>300</v>
      </c>
      <c r="G22" s="36">
        <v>30</v>
      </c>
      <c r="H22" s="36">
        <v>10</v>
      </c>
      <c r="J22" s="37" t="str">
        <f t="shared" si="0"/>
        <v>·</v>
      </c>
      <c r="K22" s="38" t="str">
        <f t="shared" si="1"/>
        <v>·</v>
      </c>
      <c r="L22" s="47"/>
      <c r="M22" s="39"/>
      <c r="N22" s="48"/>
      <c r="O22" s="48"/>
      <c r="P22" s="48"/>
      <c r="Q22" s="48"/>
      <c r="R22" s="48"/>
      <c r="S22" s="48"/>
      <c r="T22" s="48"/>
      <c r="U22" s="40"/>
      <c r="V22" s="40"/>
      <c r="X22" s="37" t="str">
        <f t="shared" si="2"/>
        <v>·</v>
      </c>
      <c r="Y22" s="38" t="str">
        <f t="shared" si="3"/>
        <v>·</v>
      </c>
      <c r="Z22" s="47"/>
      <c r="AA22" s="39"/>
      <c r="AB22" s="48"/>
      <c r="AC22" s="48"/>
      <c r="AD22" s="48"/>
      <c r="AE22" s="48"/>
      <c r="AF22" s="48"/>
      <c r="AG22" s="48"/>
      <c r="AH22" s="48"/>
      <c r="AI22" s="40"/>
      <c r="AJ22" s="40"/>
      <c r="AL22" s="41"/>
      <c r="AM22" s="41"/>
      <c r="AN22" s="41"/>
      <c r="AO22" s="41"/>
      <c r="AP22" s="41"/>
      <c r="AQ22" s="41"/>
      <c r="AR22" s="41"/>
    </row>
    <row r="23" spans="1:44" outlineLevel="1" x14ac:dyDescent="0.25">
      <c r="A23" s="18"/>
      <c r="B23" s="18" t="s">
        <v>171</v>
      </c>
      <c r="C23" s="20" t="s">
        <v>287</v>
      </c>
      <c r="D23" s="18">
        <v>11812090</v>
      </c>
      <c r="E23" s="19">
        <v>12</v>
      </c>
      <c r="F23" s="20">
        <v>300</v>
      </c>
      <c r="G23" s="20">
        <v>30</v>
      </c>
      <c r="H23" s="20">
        <v>14</v>
      </c>
      <c r="J23" s="21" t="str">
        <f t="shared" si="0"/>
        <v>·</v>
      </c>
      <c r="K23" s="22" t="str">
        <f t="shared" si="1"/>
        <v>·</v>
      </c>
      <c r="L23" s="45"/>
      <c r="M23" s="23"/>
      <c r="N23" s="46"/>
      <c r="O23" s="46"/>
      <c r="P23" s="46"/>
      <c r="Q23" s="46"/>
      <c r="R23" s="46"/>
      <c r="S23" s="46"/>
      <c r="T23" s="46"/>
      <c r="U23" s="24"/>
      <c r="V23" s="24"/>
      <c r="X23" s="21" t="str">
        <f t="shared" si="2"/>
        <v>·</v>
      </c>
      <c r="Y23" s="22" t="str">
        <f t="shared" si="3"/>
        <v>·</v>
      </c>
      <c r="Z23" s="45"/>
      <c r="AA23" s="23"/>
      <c r="AB23" s="46"/>
      <c r="AC23" s="46"/>
      <c r="AD23" s="46"/>
      <c r="AE23" s="46"/>
      <c r="AF23" s="46"/>
      <c r="AG23" s="46"/>
      <c r="AH23" s="46"/>
      <c r="AI23" s="24"/>
      <c r="AJ23" s="24"/>
      <c r="AL23" s="25"/>
      <c r="AM23" s="25"/>
      <c r="AN23" s="25"/>
      <c r="AO23" s="25"/>
      <c r="AP23" s="25"/>
      <c r="AQ23" s="25"/>
      <c r="AR23" s="25"/>
    </row>
    <row r="24" spans="1:44" ht="15.75" outlineLevel="1" thickBot="1" x14ac:dyDescent="0.3">
      <c r="A24" s="26"/>
      <c r="B24" s="26" t="s">
        <v>171</v>
      </c>
      <c r="C24" s="28" t="s">
        <v>288</v>
      </c>
      <c r="D24" s="26">
        <v>11812090</v>
      </c>
      <c r="E24" s="27">
        <v>12</v>
      </c>
      <c r="F24" s="28">
        <v>300</v>
      </c>
      <c r="G24" s="28">
        <v>30</v>
      </c>
      <c r="H24" s="28">
        <v>21</v>
      </c>
      <c r="J24" s="29" t="str">
        <f t="shared" si="0"/>
        <v>·</v>
      </c>
      <c r="K24" s="30" t="str">
        <f t="shared" si="1"/>
        <v>·</v>
      </c>
      <c r="L24" s="59"/>
      <c r="M24" s="31"/>
      <c r="N24" s="60"/>
      <c r="O24" s="60"/>
      <c r="P24" s="60"/>
      <c r="Q24" s="60"/>
      <c r="R24" s="60"/>
      <c r="S24" s="60"/>
      <c r="T24" s="60"/>
      <c r="U24" s="32"/>
      <c r="V24" s="32"/>
      <c r="X24" s="29" t="str">
        <f t="shared" si="2"/>
        <v>·</v>
      </c>
      <c r="Y24" s="30" t="str">
        <f t="shared" si="3"/>
        <v>·</v>
      </c>
      <c r="Z24" s="59"/>
      <c r="AA24" s="31"/>
      <c r="AB24" s="60"/>
      <c r="AC24" s="60"/>
      <c r="AD24" s="60"/>
      <c r="AE24" s="60"/>
      <c r="AF24" s="60"/>
      <c r="AG24" s="60"/>
      <c r="AH24" s="60"/>
      <c r="AI24" s="32"/>
      <c r="AJ24" s="32"/>
      <c r="AL24" s="33"/>
      <c r="AM24" s="33"/>
      <c r="AN24" s="33"/>
      <c r="AO24" s="33"/>
      <c r="AP24" s="33"/>
      <c r="AQ24" s="33"/>
      <c r="AR24" s="33"/>
    </row>
    <row r="25" spans="1:44" x14ac:dyDescent="0.25">
      <c r="A25" s="18" t="s">
        <v>175</v>
      </c>
      <c r="B25" s="18" t="s">
        <v>174</v>
      </c>
      <c r="C25" s="20" t="s">
        <v>284</v>
      </c>
      <c r="D25" s="18">
        <v>12000000</v>
      </c>
      <c r="E25" s="19">
        <v>12</v>
      </c>
      <c r="F25" s="20">
        <v>300</v>
      </c>
      <c r="G25" s="20">
        <v>30</v>
      </c>
      <c r="H25" s="20">
        <v>4</v>
      </c>
      <c r="J25" s="21" t="str">
        <f t="shared" si="0"/>
        <v>·</v>
      </c>
      <c r="K25" s="22" t="str">
        <f t="shared" si="1"/>
        <v>·</v>
      </c>
      <c r="L25" s="45"/>
      <c r="M25" s="23"/>
      <c r="N25" s="46"/>
      <c r="O25" s="46"/>
      <c r="P25" s="46"/>
      <c r="Q25" s="46"/>
      <c r="R25" s="46"/>
      <c r="S25" s="46"/>
      <c r="T25" s="46"/>
      <c r="U25" s="24"/>
      <c r="V25" s="24"/>
      <c r="X25" s="21" t="str">
        <f t="shared" si="2"/>
        <v>·</v>
      </c>
      <c r="Y25" s="22" t="str">
        <f t="shared" si="3"/>
        <v>·</v>
      </c>
      <c r="Z25" s="45"/>
      <c r="AA25" s="23"/>
      <c r="AB25" s="46"/>
      <c r="AC25" s="46"/>
      <c r="AD25" s="46"/>
      <c r="AE25" s="46"/>
      <c r="AF25" s="46"/>
      <c r="AG25" s="46"/>
      <c r="AH25" s="46"/>
      <c r="AI25" s="24"/>
      <c r="AJ25" s="24"/>
      <c r="AL25" s="25" t="str">
        <f t="array" ref="AL25">IF( OR(AND(ISBLANK(M25:M29)),AND(ISBLANK(AA25:AA29)), AND(ISBLANK(N25:N29)),AND(ISBLANK(AB25:AB29))), "·", bdRateExtend( M25:M29,N25:N29, AA25:AA29,AB25:AB29))</f>
        <v>·</v>
      </c>
      <c r="AM25" s="25" t="str">
        <f t="array" ref="AM25">IF( OR(AND(ISBLANK(M25:M29)),AND(ISBLANK(AA25:AA29)), AND(ISBLANK(O25:O29)),AND(ISBLANK(AC25:AC29))), "·", bdRateExtend( M25:M29,O25:O29, AA25:AA29,AC25:AC29))</f>
        <v>·</v>
      </c>
      <c r="AN25" s="25" t="str">
        <f t="array" ref="AN25">IF( OR(AND(ISBLANK(M25:M29)),AND(ISBLANK(AA25:AA29)), AND(ISBLANK(P25:P29)),AND(ISBLANK(AD25:AD29))), "·", bdRateExtend( M25:M29,P25:P29, AA25:AA29,AD25:AD29))</f>
        <v>·</v>
      </c>
      <c r="AO25" s="25" t="str">
        <f t="array" ref="AO25">IF( OR(AND(ISBLANK(M25:M29)),AND(ISBLANK(AA25:AA29)), AND(ISBLANK(Q25:Q29)),AND(ISBLANK(AE25:AE29))), "·", bdRateExtend( M25:M29,Q25:Q29, AA25:AA29,AE25:AE29))</f>
        <v>·</v>
      </c>
      <c r="AP25" s="25" t="str">
        <f t="array" ref="AP25">IF( OR(AND(ISBLANK(M25:M29)),AND(ISBLANK(AA25:AA29)), AND(ISBLANK(R25:R29)),AND(ISBLANK(AF25:AF29))), "·", bdRateExtend( M25:M29,R25:R29, AA25:AA29,AF25:AF29))</f>
        <v>·</v>
      </c>
      <c r="AQ25" s="25" t="str">
        <f t="array" ref="AQ25">IF( OR(AND(ISBLANK(M25:M29)),AND(ISBLANK(AA25:AA29)), AND(ISBLANK(S25:S29)),AND(ISBLANK(AG25:AG29))), "·", bdRateExtend( M25:M29,S25:S29, AA25:AA29,AG25:AG29))</f>
        <v>·</v>
      </c>
      <c r="AR25" s="25" t="str">
        <f t="array" ref="AR25">IF( OR(AND(ISBLANK(M25:M29)),AND(ISBLANK(AA25:AA29)), AND(ISBLANK(T25:T29)),AND(ISBLANK(AH25:AH29))), "·", bdRateExtend( M25:M29,T25:T29, AA25:AA29,AH25:AH29))</f>
        <v>·</v>
      </c>
    </row>
    <row r="26" spans="1:44" outlineLevel="1" x14ac:dyDescent="0.25">
      <c r="A26" s="34"/>
      <c r="B26" s="34" t="s">
        <v>174</v>
      </c>
      <c r="C26" s="36" t="s">
        <v>285</v>
      </c>
      <c r="D26" s="34">
        <v>12000000</v>
      </c>
      <c r="E26" s="35">
        <v>12</v>
      </c>
      <c r="F26" s="36">
        <v>300</v>
      </c>
      <c r="G26" s="36">
        <v>30</v>
      </c>
      <c r="H26" s="36">
        <v>8</v>
      </c>
      <c r="J26" s="37" t="str">
        <f t="shared" si="0"/>
        <v>·</v>
      </c>
      <c r="K26" s="38" t="str">
        <f t="shared" si="1"/>
        <v>·</v>
      </c>
      <c r="L26" s="47"/>
      <c r="M26" s="39"/>
      <c r="N26" s="48"/>
      <c r="O26" s="48"/>
      <c r="P26" s="48"/>
      <c r="Q26" s="48"/>
      <c r="R26" s="48"/>
      <c r="S26" s="48"/>
      <c r="T26" s="48"/>
      <c r="U26" s="40"/>
      <c r="V26" s="40"/>
      <c r="X26" s="37" t="str">
        <f t="shared" si="2"/>
        <v>·</v>
      </c>
      <c r="Y26" s="38" t="str">
        <f t="shared" si="3"/>
        <v>·</v>
      </c>
      <c r="Z26" s="47"/>
      <c r="AA26" s="39"/>
      <c r="AB26" s="48"/>
      <c r="AC26" s="48"/>
      <c r="AD26" s="48"/>
      <c r="AE26" s="48"/>
      <c r="AF26" s="48"/>
      <c r="AG26" s="48"/>
      <c r="AH26" s="48"/>
      <c r="AI26" s="40"/>
      <c r="AJ26" s="40"/>
      <c r="AL26" s="41"/>
      <c r="AM26" s="41"/>
      <c r="AN26" s="41"/>
      <c r="AO26" s="41"/>
      <c r="AP26" s="41"/>
      <c r="AQ26" s="41"/>
      <c r="AR26" s="41"/>
    </row>
    <row r="27" spans="1:44" outlineLevel="1" x14ac:dyDescent="0.25">
      <c r="A27" s="18"/>
      <c r="B27" s="18" t="s">
        <v>174</v>
      </c>
      <c r="C27" s="20" t="s">
        <v>286</v>
      </c>
      <c r="D27" s="18">
        <v>12000000</v>
      </c>
      <c r="E27" s="19">
        <v>12</v>
      </c>
      <c r="F27" s="20">
        <v>300</v>
      </c>
      <c r="G27" s="20">
        <v>30</v>
      </c>
      <c r="H27" s="20">
        <v>12</v>
      </c>
      <c r="J27" s="21" t="str">
        <f t="shared" si="0"/>
        <v>·</v>
      </c>
      <c r="K27" s="22" t="str">
        <f t="shared" si="1"/>
        <v>·</v>
      </c>
      <c r="L27" s="45"/>
      <c r="M27" s="23"/>
      <c r="N27" s="46"/>
      <c r="O27" s="46"/>
      <c r="P27" s="46"/>
      <c r="Q27" s="46"/>
      <c r="R27" s="46"/>
      <c r="S27" s="46"/>
      <c r="T27" s="46"/>
      <c r="U27" s="24"/>
      <c r="V27" s="24"/>
      <c r="X27" s="21" t="str">
        <f t="shared" si="2"/>
        <v>·</v>
      </c>
      <c r="Y27" s="22" t="str">
        <f t="shared" si="3"/>
        <v>·</v>
      </c>
      <c r="Z27" s="45"/>
      <c r="AA27" s="23"/>
      <c r="AB27" s="46"/>
      <c r="AC27" s="46"/>
      <c r="AD27" s="46"/>
      <c r="AE27" s="46"/>
      <c r="AF27" s="46"/>
      <c r="AG27" s="46"/>
      <c r="AH27" s="46"/>
      <c r="AI27" s="24"/>
      <c r="AJ27" s="24"/>
      <c r="AL27" s="25"/>
      <c r="AM27" s="25"/>
      <c r="AN27" s="25"/>
      <c r="AO27" s="25"/>
      <c r="AP27" s="25"/>
      <c r="AQ27" s="25"/>
      <c r="AR27" s="25"/>
    </row>
    <row r="28" spans="1:44" outlineLevel="1" x14ac:dyDescent="0.25">
      <c r="A28" s="34"/>
      <c r="B28" s="34" t="s">
        <v>174</v>
      </c>
      <c r="C28" s="36" t="s">
        <v>287</v>
      </c>
      <c r="D28" s="34">
        <v>12000000</v>
      </c>
      <c r="E28" s="35">
        <v>12</v>
      </c>
      <c r="F28" s="36">
        <v>300</v>
      </c>
      <c r="G28" s="36">
        <v>30</v>
      </c>
      <c r="H28" s="36">
        <v>17</v>
      </c>
      <c r="J28" s="37" t="str">
        <f t="shared" si="0"/>
        <v>·</v>
      </c>
      <c r="K28" s="38" t="str">
        <f t="shared" si="1"/>
        <v>·</v>
      </c>
      <c r="L28" s="47"/>
      <c r="M28" s="39"/>
      <c r="N28" s="48"/>
      <c r="O28" s="48"/>
      <c r="P28" s="48"/>
      <c r="Q28" s="48"/>
      <c r="R28" s="48"/>
      <c r="S28" s="48"/>
      <c r="T28" s="48"/>
      <c r="U28" s="40"/>
      <c r="V28" s="40"/>
      <c r="X28" s="37" t="str">
        <f t="shared" si="2"/>
        <v>·</v>
      </c>
      <c r="Y28" s="38" t="str">
        <f t="shared" si="3"/>
        <v>·</v>
      </c>
      <c r="Z28" s="47"/>
      <c r="AA28" s="39"/>
      <c r="AB28" s="48"/>
      <c r="AC28" s="48"/>
      <c r="AD28" s="48"/>
      <c r="AE28" s="48"/>
      <c r="AF28" s="48"/>
      <c r="AG28" s="48"/>
      <c r="AH28" s="48"/>
      <c r="AI28" s="40"/>
      <c r="AJ28" s="40"/>
      <c r="AL28" s="41"/>
      <c r="AM28" s="41"/>
      <c r="AN28" s="41"/>
      <c r="AO28" s="41"/>
      <c r="AP28" s="41"/>
      <c r="AQ28" s="41"/>
      <c r="AR28" s="41"/>
    </row>
    <row r="29" spans="1:44" ht="15.75" outlineLevel="1" thickBot="1" x14ac:dyDescent="0.3">
      <c r="A29" s="18"/>
      <c r="B29" s="49" t="s">
        <v>174</v>
      </c>
      <c r="C29" s="50" t="s">
        <v>288</v>
      </c>
      <c r="D29" s="49">
        <v>12000000</v>
      </c>
      <c r="E29" s="51">
        <v>12</v>
      </c>
      <c r="F29" s="50">
        <v>300</v>
      </c>
      <c r="G29" s="50">
        <v>30</v>
      </c>
      <c r="H29" s="50">
        <v>25</v>
      </c>
      <c r="J29" s="52" t="str">
        <f t="shared" si="0"/>
        <v>·</v>
      </c>
      <c r="K29" s="53" t="str">
        <f t="shared" si="1"/>
        <v>·</v>
      </c>
      <c r="L29" s="54"/>
      <c r="M29" s="55"/>
      <c r="N29" s="56"/>
      <c r="O29" s="56"/>
      <c r="P29" s="56"/>
      <c r="Q29" s="56"/>
      <c r="R29" s="56"/>
      <c r="S29" s="56"/>
      <c r="T29" s="56"/>
      <c r="U29" s="57"/>
      <c r="V29" s="57"/>
      <c r="X29" s="52" t="str">
        <f t="shared" si="2"/>
        <v>·</v>
      </c>
      <c r="Y29" s="53" t="str">
        <f t="shared" si="3"/>
        <v>·</v>
      </c>
      <c r="Z29" s="54"/>
      <c r="AA29" s="55"/>
      <c r="AB29" s="56"/>
      <c r="AC29" s="56"/>
      <c r="AD29" s="56"/>
      <c r="AE29" s="56"/>
      <c r="AF29" s="56"/>
      <c r="AG29" s="56"/>
      <c r="AH29" s="56"/>
      <c r="AI29" s="57"/>
      <c r="AJ29" s="57"/>
      <c r="AL29" s="58"/>
      <c r="AM29" s="58"/>
      <c r="AN29" s="58"/>
      <c r="AO29" s="58"/>
      <c r="AP29" s="58"/>
      <c r="AQ29" s="58"/>
      <c r="AR29" s="58"/>
    </row>
    <row r="30" spans="1:44" x14ac:dyDescent="0.25">
      <c r="A30" s="34"/>
      <c r="B30" s="34" t="s">
        <v>178</v>
      </c>
      <c r="C30" s="36" t="s">
        <v>284</v>
      </c>
      <c r="D30" s="34">
        <v>5997654</v>
      </c>
      <c r="E30" s="35">
        <v>12</v>
      </c>
      <c r="F30" s="36">
        <v>150</v>
      </c>
      <c r="G30" s="36">
        <v>30</v>
      </c>
      <c r="H30" s="36">
        <v>4</v>
      </c>
      <c r="J30" s="37" t="str">
        <f t="shared" si="0"/>
        <v>·</v>
      </c>
      <c r="K30" s="38" t="str">
        <f t="shared" si="1"/>
        <v>·</v>
      </c>
      <c r="L30" s="47"/>
      <c r="M30" s="39"/>
      <c r="N30" s="48"/>
      <c r="O30" s="48"/>
      <c r="P30" s="48"/>
      <c r="Q30" s="48"/>
      <c r="R30" s="48"/>
      <c r="S30" s="48"/>
      <c r="T30" s="48"/>
      <c r="U30" s="40"/>
      <c r="V30" s="40"/>
      <c r="X30" s="37" t="str">
        <f t="shared" si="2"/>
        <v>·</v>
      </c>
      <c r="Y30" s="38" t="str">
        <f t="shared" si="3"/>
        <v>·</v>
      </c>
      <c r="Z30" s="47"/>
      <c r="AA30" s="39"/>
      <c r="AB30" s="48"/>
      <c r="AC30" s="48"/>
      <c r="AD30" s="48"/>
      <c r="AE30" s="48"/>
      <c r="AF30" s="48"/>
      <c r="AG30" s="48"/>
      <c r="AH30" s="48"/>
      <c r="AI30" s="40"/>
      <c r="AJ30" s="40"/>
      <c r="AL30" s="41" t="str">
        <f t="array" ref="AL30">IF( OR(AND(ISBLANK(M30:M34)),AND(ISBLANK(AA30:AA34)), AND(ISBLANK(N30:N34)),AND(ISBLANK(AB30:AB34))), "·", bdRateExtend( M30:M34,N30:N34, AA30:AA34,AB30:AB34))</f>
        <v>·</v>
      </c>
      <c r="AM30" s="41" t="str">
        <f t="array" ref="AM30">IF( OR(AND(ISBLANK(M30:M34)),AND(ISBLANK(AA30:AA34)), AND(ISBLANK(O30:O34)),AND(ISBLANK(AC30:AC34))), "·", bdRateExtend( M30:M34,O30:O34, AA30:AA34,AC30:AC34))</f>
        <v>·</v>
      </c>
      <c r="AN30" s="41" t="str">
        <f t="array" ref="AN30">IF( OR(AND(ISBLANK(M30:M34)),AND(ISBLANK(AA30:AA34)), AND(ISBLANK(P30:P34)),AND(ISBLANK(AD30:AD34))), "·", bdRateExtend( M30:M34,P30:P34, AA30:AA34,AD30:AD34))</f>
        <v>·</v>
      </c>
      <c r="AO30" s="41" t="str">
        <f t="array" ref="AO30">IF( OR(AND(ISBLANK(M30:M34)),AND(ISBLANK(AA30:AA34)), AND(ISBLANK(Q30:Q34)),AND(ISBLANK(AE30:AE34))), "·", bdRateExtend( M30:M34,Q30:Q34, AA30:AA34,AE30:AE34))</f>
        <v>·</v>
      </c>
      <c r="AP30" s="41" t="str">
        <f t="array" ref="AP30">IF( OR(AND(ISBLANK(M30:M34)),AND(ISBLANK(AA30:AA34)), AND(ISBLANK(R30:R34)),AND(ISBLANK(AF30:AF34))), "·", bdRateExtend( M30:M34,R30:R34, AA30:AA34,AF30:AF34))</f>
        <v>·</v>
      </c>
      <c r="AQ30" s="41" t="str">
        <f t="array" ref="AQ30">IF( OR(AND(ISBLANK(M30:M34)),AND(ISBLANK(AA30:AA34)), AND(ISBLANK(S30:S34)),AND(ISBLANK(AG30:AG34))), "·", bdRateExtend( M30:M34,S30:S34, AA30:AA34,AG30:AG34))</f>
        <v>·</v>
      </c>
      <c r="AR30" s="41" t="str">
        <f t="array" ref="AR30">IF( OR(AND(ISBLANK(M30:M34)),AND(ISBLANK(AA30:AA34)), AND(ISBLANK(T30:T34)),AND(ISBLANK(AH30:AH34))), "·", bdRateExtend( M30:M34,T30:T34, AA30:AA34,AH30:AH34))</f>
        <v>·</v>
      </c>
    </row>
    <row r="31" spans="1:44" outlineLevel="1" x14ac:dyDescent="0.25">
      <c r="A31" s="18"/>
      <c r="B31" s="18" t="s">
        <v>178</v>
      </c>
      <c r="C31" s="20" t="s">
        <v>285</v>
      </c>
      <c r="D31" s="18">
        <v>5997654</v>
      </c>
      <c r="E31" s="19">
        <v>12</v>
      </c>
      <c r="F31" s="20">
        <v>150</v>
      </c>
      <c r="G31" s="20">
        <v>30</v>
      </c>
      <c r="H31" s="20">
        <v>8</v>
      </c>
      <c r="J31" s="21" t="str">
        <f t="shared" si="0"/>
        <v>·</v>
      </c>
      <c r="K31" s="22" t="str">
        <f t="shared" si="1"/>
        <v>·</v>
      </c>
      <c r="L31" s="45"/>
      <c r="M31" s="23"/>
      <c r="N31" s="46"/>
      <c r="O31" s="46"/>
      <c r="P31" s="46"/>
      <c r="Q31" s="46"/>
      <c r="R31" s="46"/>
      <c r="S31" s="46"/>
      <c r="T31" s="46"/>
      <c r="U31" s="24"/>
      <c r="V31" s="24"/>
      <c r="X31" s="21" t="str">
        <f t="shared" si="2"/>
        <v>·</v>
      </c>
      <c r="Y31" s="22" t="str">
        <f t="shared" si="3"/>
        <v>·</v>
      </c>
      <c r="Z31" s="45"/>
      <c r="AA31" s="23"/>
      <c r="AB31" s="46"/>
      <c r="AC31" s="46"/>
      <c r="AD31" s="46"/>
      <c r="AE31" s="46"/>
      <c r="AF31" s="46"/>
      <c r="AG31" s="46"/>
      <c r="AH31" s="46"/>
      <c r="AI31" s="24"/>
      <c r="AJ31" s="24"/>
      <c r="AL31" s="25"/>
      <c r="AM31" s="25"/>
      <c r="AN31" s="25"/>
      <c r="AO31" s="25"/>
      <c r="AP31" s="25"/>
      <c r="AQ31" s="25"/>
      <c r="AR31" s="25"/>
    </row>
    <row r="32" spans="1:44" outlineLevel="1" x14ac:dyDescent="0.25">
      <c r="A32" s="34"/>
      <c r="B32" s="34" t="s">
        <v>178</v>
      </c>
      <c r="C32" s="36" t="s">
        <v>286</v>
      </c>
      <c r="D32" s="34">
        <v>5997654</v>
      </c>
      <c r="E32" s="35">
        <v>12</v>
      </c>
      <c r="F32" s="36">
        <v>150</v>
      </c>
      <c r="G32" s="36">
        <v>30</v>
      </c>
      <c r="H32" s="36">
        <v>12</v>
      </c>
      <c r="J32" s="37" t="str">
        <f t="shared" si="0"/>
        <v>·</v>
      </c>
      <c r="K32" s="38" t="str">
        <f t="shared" si="1"/>
        <v>·</v>
      </c>
      <c r="L32" s="47"/>
      <c r="M32" s="39"/>
      <c r="N32" s="48"/>
      <c r="O32" s="48"/>
      <c r="P32" s="48"/>
      <c r="Q32" s="48"/>
      <c r="R32" s="48"/>
      <c r="S32" s="48"/>
      <c r="T32" s="48"/>
      <c r="U32" s="40"/>
      <c r="V32" s="40"/>
      <c r="X32" s="37" t="str">
        <f t="shared" si="2"/>
        <v>·</v>
      </c>
      <c r="Y32" s="38" t="str">
        <f t="shared" si="3"/>
        <v>·</v>
      </c>
      <c r="Z32" s="47"/>
      <c r="AA32" s="39"/>
      <c r="AB32" s="48"/>
      <c r="AC32" s="48"/>
      <c r="AD32" s="48"/>
      <c r="AE32" s="48"/>
      <c r="AF32" s="48"/>
      <c r="AG32" s="48"/>
      <c r="AH32" s="48"/>
      <c r="AI32" s="40"/>
      <c r="AJ32" s="40"/>
      <c r="AL32" s="41"/>
      <c r="AM32" s="41"/>
      <c r="AN32" s="41"/>
      <c r="AO32" s="41"/>
      <c r="AP32" s="41"/>
      <c r="AQ32" s="41"/>
      <c r="AR32" s="41"/>
    </row>
    <row r="33" spans="1:44" outlineLevel="1" x14ac:dyDescent="0.25">
      <c r="A33" s="18"/>
      <c r="B33" s="18" t="s">
        <v>178</v>
      </c>
      <c r="C33" s="20" t="s">
        <v>287</v>
      </c>
      <c r="D33" s="18">
        <v>5997654</v>
      </c>
      <c r="E33" s="19">
        <v>12</v>
      </c>
      <c r="F33" s="20">
        <v>150</v>
      </c>
      <c r="G33" s="20">
        <v>30</v>
      </c>
      <c r="H33" s="20">
        <v>17</v>
      </c>
      <c r="J33" s="21" t="str">
        <f t="shared" si="0"/>
        <v>·</v>
      </c>
      <c r="K33" s="22" t="str">
        <f t="shared" si="1"/>
        <v>·</v>
      </c>
      <c r="L33" s="45"/>
      <c r="M33" s="23"/>
      <c r="N33" s="46"/>
      <c r="O33" s="46"/>
      <c r="P33" s="46"/>
      <c r="Q33" s="46"/>
      <c r="R33" s="46"/>
      <c r="S33" s="46"/>
      <c r="T33" s="46"/>
      <c r="U33" s="24"/>
      <c r="V33" s="24"/>
      <c r="X33" s="21" t="str">
        <f t="shared" si="2"/>
        <v>·</v>
      </c>
      <c r="Y33" s="22" t="str">
        <f t="shared" si="3"/>
        <v>·</v>
      </c>
      <c r="Z33" s="45"/>
      <c r="AA33" s="23"/>
      <c r="AB33" s="46"/>
      <c r="AC33" s="46"/>
      <c r="AD33" s="46"/>
      <c r="AE33" s="46"/>
      <c r="AF33" s="46"/>
      <c r="AG33" s="46"/>
      <c r="AH33" s="46"/>
      <c r="AI33" s="24"/>
      <c r="AJ33" s="24"/>
      <c r="AL33" s="25"/>
      <c r="AM33" s="25"/>
      <c r="AN33" s="25"/>
      <c r="AO33" s="25"/>
      <c r="AP33" s="25"/>
      <c r="AQ33" s="25"/>
      <c r="AR33" s="25"/>
    </row>
    <row r="34" spans="1:44" ht="15.75" outlineLevel="1" thickBot="1" x14ac:dyDescent="0.3">
      <c r="A34" s="34"/>
      <c r="B34" s="26" t="s">
        <v>178</v>
      </c>
      <c r="C34" s="28" t="s">
        <v>288</v>
      </c>
      <c r="D34" s="26">
        <v>5997654</v>
      </c>
      <c r="E34" s="27">
        <v>12</v>
      </c>
      <c r="F34" s="28">
        <v>150</v>
      </c>
      <c r="G34" s="28">
        <v>30</v>
      </c>
      <c r="H34" s="28">
        <v>25</v>
      </c>
      <c r="J34" s="29" t="str">
        <f t="shared" si="0"/>
        <v>·</v>
      </c>
      <c r="K34" s="30" t="str">
        <f t="shared" si="1"/>
        <v>·</v>
      </c>
      <c r="L34" s="59"/>
      <c r="M34" s="31"/>
      <c r="N34" s="60"/>
      <c r="O34" s="60"/>
      <c r="P34" s="60"/>
      <c r="Q34" s="60"/>
      <c r="R34" s="60"/>
      <c r="S34" s="60"/>
      <c r="T34" s="60"/>
      <c r="U34" s="32"/>
      <c r="V34" s="32"/>
      <c r="X34" s="29" t="str">
        <f t="shared" si="2"/>
        <v>·</v>
      </c>
      <c r="Y34" s="30" t="str">
        <f t="shared" si="3"/>
        <v>·</v>
      </c>
      <c r="Z34" s="59"/>
      <c r="AA34" s="31"/>
      <c r="AB34" s="60"/>
      <c r="AC34" s="60"/>
      <c r="AD34" s="60"/>
      <c r="AE34" s="60"/>
      <c r="AF34" s="60"/>
      <c r="AG34" s="60"/>
      <c r="AH34" s="60"/>
      <c r="AI34" s="32"/>
      <c r="AJ34" s="32"/>
      <c r="AL34" s="33"/>
      <c r="AM34" s="33"/>
      <c r="AN34" s="33"/>
      <c r="AO34" s="33"/>
      <c r="AP34" s="33"/>
      <c r="AQ34" s="33"/>
      <c r="AR34" s="33"/>
    </row>
    <row r="35" spans="1:44" x14ac:dyDescent="0.25">
      <c r="A35" s="18"/>
      <c r="B35" s="18" t="s">
        <v>181</v>
      </c>
      <c r="C35" s="20" t="s">
        <v>284</v>
      </c>
      <c r="D35" s="18">
        <v>9000000</v>
      </c>
      <c r="E35" s="19">
        <v>12</v>
      </c>
      <c r="F35" s="20">
        <v>300</v>
      </c>
      <c r="G35" s="20">
        <v>30</v>
      </c>
      <c r="H35" s="20">
        <v>4</v>
      </c>
      <c r="J35" s="21" t="str">
        <f t="shared" si="0"/>
        <v>·</v>
      </c>
      <c r="K35" s="22" t="str">
        <f t="shared" si="1"/>
        <v>·</v>
      </c>
      <c r="L35" s="45"/>
      <c r="M35" s="23"/>
      <c r="N35" s="46"/>
      <c r="O35" s="46"/>
      <c r="P35" s="46"/>
      <c r="Q35" s="46"/>
      <c r="R35" s="46"/>
      <c r="S35" s="46"/>
      <c r="T35" s="46"/>
      <c r="U35" s="24"/>
      <c r="V35" s="24"/>
      <c r="X35" s="21" t="str">
        <f t="shared" si="2"/>
        <v>·</v>
      </c>
      <c r="Y35" s="22" t="str">
        <f t="shared" si="3"/>
        <v>·</v>
      </c>
      <c r="Z35" s="45"/>
      <c r="AA35" s="23"/>
      <c r="AB35" s="46"/>
      <c r="AC35" s="46"/>
      <c r="AD35" s="46"/>
      <c r="AE35" s="46"/>
      <c r="AF35" s="46"/>
      <c r="AG35" s="46"/>
      <c r="AH35" s="46"/>
      <c r="AI35" s="24"/>
      <c r="AJ35" s="24"/>
      <c r="AL35" s="25" t="str">
        <f t="array" ref="AL35">IF( OR(AND(ISBLANK(M35:M39)),AND(ISBLANK(AA35:AA39)), AND(ISBLANK(N35:N39)),AND(ISBLANK(AB35:AB39))), "·", bdRateExtend( M35:M39,N35:N39, AA35:AA39,AB35:AB39))</f>
        <v>·</v>
      </c>
      <c r="AM35" s="25" t="str">
        <f t="array" ref="AM35">IF( OR(AND(ISBLANK(M35:M39)),AND(ISBLANK(AA35:AA39)), AND(ISBLANK(O35:O39)),AND(ISBLANK(AC35:AC39))), "·", bdRateExtend( M35:M39,O35:O39, AA35:AA39,AC35:AC39))</f>
        <v>·</v>
      </c>
      <c r="AN35" s="25" t="str">
        <f t="array" ref="AN35">IF( OR(AND(ISBLANK(M35:M39)),AND(ISBLANK(AA35:AA39)), AND(ISBLANK(P35:P39)),AND(ISBLANK(AD35:AD39))), "·", bdRateExtend( M35:M39,P35:P39, AA35:AA39,AD35:AD39))</f>
        <v>·</v>
      </c>
      <c r="AO35" s="25" t="str">
        <f t="array" ref="AO35">IF( OR(AND(ISBLANK(M35:M39)),AND(ISBLANK(AA35:AA39)), AND(ISBLANK(Q35:Q39)),AND(ISBLANK(AE35:AE39))), "·", bdRateExtend( M35:M39,Q35:Q39, AA35:AA39,AE35:AE39))</f>
        <v>·</v>
      </c>
      <c r="AP35" s="25" t="str">
        <f t="array" ref="AP35">IF( OR(AND(ISBLANK(M35:M39)),AND(ISBLANK(AA35:AA39)), AND(ISBLANK(R35:R39)),AND(ISBLANK(AF35:AF39))), "·", bdRateExtend( M35:M39,R35:R39, AA35:AA39,AF35:AF39))</f>
        <v>·</v>
      </c>
      <c r="AQ35" s="25" t="str">
        <f t="array" ref="AQ35">IF( OR(AND(ISBLANK(M35:M39)),AND(ISBLANK(AA35:AA39)), AND(ISBLANK(S35:S39)),AND(ISBLANK(AG35:AG39))), "·", bdRateExtend( M35:M39,S35:S39, AA35:AA39,AG35:AG39))</f>
        <v>·</v>
      </c>
      <c r="AR35" s="25" t="str">
        <f t="array" ref="AR35">IF( OR(AND(ISBLANK(M35:M39)),AND(ISBLANK(AA35:AA39)), AND(ISBLANK(T35:T39)),AND(ISBLANK(AH35:AH39))), "·", bdRateExtend( M35:M39,T35:T39, AA35:AA39,AH35:AH39))</f>
        <v>·</v>
      </c>
    </row>
    <row r="36" spans="1:44" outlineLevel="1" x14ac:dyDescent="0.25">
      <c r="A36" s="34"/>
      <c r="B36" s="34" t="s">
        <v>181</v>
      </c>
      <c r="C36" s="36" t="s">
        <v>285</v>
      </c>
      <c r="D36" s="34">
        <v>9000000</v>
      </c>
      <c r="E36" s="35">
        <v>12</v>
      </c>
      <c r="F36" s="36">
        <v>300</v>
      </c>
      <c r="G36" s="36">
        <v>30</v>
      </c>
      <c r="H36" s="36">
        <v>6</v>
      </c>
      <c r="J36" s="37" t="str">
        <f t="shared" si="0"/>
        <v>·</v>
      </c>
      <c r="K36" s="38" t="str">
        <f t="shared" si="1"/>
        <v>·</v>
      </c>
      <c r="L36" s="47"/>
      <c r="M36" s="39"/>
      <c r="N36" s="48"/>
      <c r="O36" s="48"/>
      <c r="P36" s="48"/>
      <c r="Q36" s="48"/>
      <c r="R36" s="48"/>
      <c r="S36" s="48"/>
      <c r="T36" s="48"/>
      <c r="U36" s="40"/>
      <c r="V36" s="40"/>
      <c r="X36" s="37" t="str">
        <f t="shared" si="2"/>
        <v>·</v>
      </c>
      <c r="Y36" s="38" t="str">
        <f t="shared" si="3"/>
        <v>·</v>
      </c>
      <c r="Z36" s="47"/>
      <c r="AA36" s="39"/>
      <c r="AB36" s="48"/>
      <c r="AC36" s="48"/>
      <c r="AD36" s="48"/>
      <c r="AE36" s="48"/>
      <c r="AF36" s="48"/>
      <c r="AG36" s="48"/>
      <c r="AH36" s="48"/>
      <c r="AI36" s="40"/>
      <c r="AJ36" s="40"/>
      <c r="AL36" s="41"/>
      <c r="AM36" s="41"/>
      <c r="AN36" s="41"/>
      <c r="AO36" s="41"/>
      <c r="AP36" s="41"/>
      <c r="AQ36" s="41"/>
      <c r="AR36" s="41"/>
    </row>
    <row r="37" spans="1:44" outlineLevel="1" x14ac:dyDescent="0.25">
      <c r="A37" s="18"/>
      <c r="B37" s="18" t="s">
        <v>181</v>
      </c>
      <c r="C37" s="20" t="s">
        <v>286</v>
      </c>
      <c r="D37" s="18">
        <v>9000000</v>
      </c>
      <c r="E37" s="19">
        <v>12</v>
      </c>
      <c r="F37" s="20">
        <v>300</v>
      </c>
      <c r="G37" s="20">
        <v>30</v>
      </c>
      <c r="H37" s="20">
        <v>11</v>
      </c>
      <c r="J37" s="21" t="str">
        <f t="shared" si="0"/>
        <v>·</v>
      </c>
      <c r="K37" s="22" t="str">
        <f t="shared" si="1"/>
        <v>·</v>
      </c>
      <c r="L37" s="45"/>
      <c r="M37" s="23"/>
      <c r="N37" s="46"/>
      <c r="O37" s="46"/>
      <c r="P37" s="46"/>
      <c r="Q37" s="46"/>
      <c r="R37" s="46"/>
      <c r="S37" s="46"/>
      <c r="T37" s="46"/>
      <c r="U37" s="24"/>
      <c r="V37" s="24"/>
      <c r="X37" s="21" t="str">
        <f t="shared" si="2"/>
        <v>·</v>
      </c>
      <c r="Y37" s="22" t="str">
        <f t="shared" si="3"/>
        <v>·</v>
      </c>
      <c r="Z37" s="45"/>
      <c r="AA37" s="23"/>
      <c r="AB37" s="46"/>
      <c r="AC37" s="46"/>
      <c r="AD37" s="46"/>
      <c r="AE37" s="46"/>
      <c r="AF37" s="46"/>
      <c r="AG37" s="46"/>
      <c r="AH37" s="46"/>
      <c r="AI37" s="24"/>
      <c r="AJ37" s="24"/>
      <c r="AL37" s="25"/>
      <c r="AM37" s="25"/>
      <c r="AN37" s="25"/>
      <c r="AO37" s="25"/>
      <c r="AP37" s="25"/>
      <c r="AQ37" s="25"/>
      <c r="AR37" s="25"/>
    </row>
    <row r="38" spans="1:44" outlineLevel="1" x14ac:dyDescent="0.25">
      <c r="A38" s="34"/>
      <c r="B38" s="34" t="s">
        <v>181</v>
      </c>
      <c r="C38" s="36" t="s">
        <v>287</v>
      </c>
      <c r="D38" s="34">
        <v>9000000</v>
      </c>
      <c r="E38" s="35">
        <v>12</v>
      </c>
      <c r="F38" s="36">
        <v>300</v>
      </c>
      <c r="G38" s="36">
        <v>30</v>
      </c>
      <c r="H38" s="36">
        <v>16</v>
      </c>
      <c r="J38" s="37" t="str">
        <f t="shared" si="0"/>
        <v>·</v>
      </c>
      <c r="K38" s="38" t="str">
        <f t="shared" si="1"/>
        <v>·</v>
      </c>
      <c r="L38" s="47"/>
      <c r="M38" s="39"/>
      <c r="N38" s="48"/>
      <c r="O38" s="48"/>
      <c r="P38" s="48"/>
      <c r="Q38" s="48"/>
      <c r="R38" s="48"/>
      <c r="S38" s="48"/>
      <c r="T38" s="48"/>
      <c r="U38" s="40"/>
      <c r="V38" s="40"/>
      <c r="X38" s="37" t="str">
        <f t="shared" si="2"/>
        <v>·</v>
      </c>
      <c r="Y38" s="38" t="str">
        <f t="shared" si="3"/>
        <v>·</v>
      </c>
      <c r="Z38" s="47"/>
      <c r="AA38" s="39"/>
      <c r="AB38" s="48"/>
      <c r="AC38" s="48"/>
      <c r="AD38" s="48"/>
      <c r="AE38" s="48"/>
      <c r="AF38" s="48"/>
      <c r="AG38" s="48"/>
      <c r="AH38" s="48"/>
      <c r="AI38" s="40"/>
      <c r="AJ38" s="40"/>
      <c r="AL38" s="41"/>
      <c r="AM38" s="41"/>
      <c r="AN38" s="41"/>
      <c r="AO38" s="41"/>
      <c r="AP38" s="41"/>
      <c r="AQ38" s="41"/>
      <c r="AR38" s="41"/>
    </row>
    <row r="39" spans="1:44" ht="15.75" outlineLevel="1" thickBot="1" x14ac:dyDescent="0.3">
      <c r="A39" s="18"/>
      <c r="B39" s="49" t="s">
        <v>181</v>
      </c>
      <c r="C39" s="50" t="s">
        <v>288</v>
      </c>
      <c r="D39" s="49">
        <v>9000000</v>
      </c>
      <c r="E39" s="51">
        <v>12</v>
      </c>
      <c r="F39" s="50">
        <v>300</v>
      </c>
      <c r="G39" s="50">
        <v>30</v>
      </c>
      <c r="H39" s="50">
        <v>24</v>
      </c>
      <c r="J39" s="52" t="str">
        <f t="shared" si="0"/>
        <v>·</v>
      </c>
      <c r="K39" s="53" t="str">
        <f t="shared" si="1"/>
        <v>·</v>
      </c>
      <c r="L39" s="54"/>
      <c r="M39" s="55"/>
      <c r="N39" s="56"/>
      <c r="O39" s="56"/>
      <c r="P39" s="56"/>
      <c r="Q39" s="56"/>
      <c r="R39" s="56"/>
      <c r="S39" s="56"/>
      <c r="T39" s="56"/>
      <c r="U39" s="57"/>
      <c r="V39" s="57"/>
      <c r="X39" s="52" t="str">
        <f t="shared" si="2"/>
        <v>·</v>
      </c>
      <c r="Y39" s="53" t="str">
        <f t="shared" si="3"/>
        <v>·</v>
      </c>
      <c r="Z39" s="54"/>
      <c r="AA39" s="55"/>
      <c r="AB39" s="56"/>
      <c r="AC39" s="56"/>
      <c r="AD39" s="56"/>
      <c r="AE39" s="56"/>
      <c r="AF39" s="56"/>
      <c r="AG39" s="56"/>
      <c r="AH39" s="56"/>
      <c r="AI39" s="57"/>
      <c r="AJ39" s="57"/>
      <c r="AL39" s="58"/>
      <c r="AM39" s="58"/>
      <c r="AN39" s="58"/>
      <c r="AO39" s="58"/>
      <c r="AP39" s="58"/>
      <c r="AQ39" s="58"/>
      <c r="AR39" s="58"/>
    </row>
    <row r="40" spans="1:44" x14ac:dyDescent="0.25">
      <c r="A40" s="34"/>
      <c r="B40" s="34" t="s">
        <v>184</v>
      </c>
      <c r="C40" s="36" t="s">
        <v>284</v>
      </c>
      <c r="D40" s="34">
        <v>9000000</v>
      </c>
      <c r="E40" s="35">
        <v>12</v>
      </c>
      <c r="F40" s="36">
        <v>300</v>
      </c>
      <c r="G40" s="36">
        <v>30</v>
      </c>
      <c r="H40" s="36">
        <v>4</v>
      </c>
      <c r="J40" s="37" t="str">
        <f t="shared" si="0"/>
        <v>·</v>
      </c>
      <c r="K40" s="38" t="str">
        <f t="shared" si="1"/>
        <v>·</v>
      </c>
      <c r="L40" s="47"/>
      <c r="M40" s="39"/>
      <c r="N40" s="48"/>
      <c r="O40" s="48"/>
      <c r="P40" s="48"/>
      <c r="Q40" s="48"/>
      <c r="R40" s="48"/>
      <c r="S40" s="48"/>
      <c r="T40" s="48"/>
      <c r="U40" s="40"/>
      <c r="V40" s="40"/>
      <c r="X40" s="37" t="str">
        <f t="shared" si="2"/>
        <v>·</v>
      </c>
      <c r="Y40" s="38" t="str">
        <f t="shared" si="3"/>
        <v>·</v>
      </c>
      <c r="Z40" s="47"/>
      <c r="AA40" s="39"/>
      <c r="AB40" s="48"/>
      <c r="AC40" s="48"/>
      <c r="AD40" s="48"/>
      <c r="AE40" s="48"/>
      <c r="AF40" s="48"/>
      <c r="AG40" s="48"/>
      <c r="AH40" s="48"/>
      <c r="AI40" s="40"/>
      <c r="AJ40" s="40"/>
      <c r="AL40" s="41" t="str">
        <f t="array" ref="AL40">IF( OR(AND(ISBLANK(M40:M44)),AND(ISBLANK(AA40:AA44)), AND(ISBLANK(N40:N44)),AND(ISBLANK(AB40:AB44))), "·", bdRateExtend( M40:M44,N40:N44, AA40:AA44,AB40:AB44))</f>
        <v>·</v>
      </c>
      <c r="AM40" s="41" t="str">
        <f t="array" ref="AM40">IF( OR(AND(ISBLANK(M40:M44)),AND(ISBLANK(AA40:AA44)), AND(ISBLANK(O40:O44)),AND(ISBLANK(AC40:AC44))), "·", bdRateExtend( M40:M44,O40:O44, AA40:AA44,AC40:AC44))</f>
        <v>·</v>
      </c>
      <c r="AN40" s="41" t="str">
        <f t="array" ref="AN40">IF( OR(AND(ISBLANK(M40:M44)),AND(ISBLANK(AA40:AA44)), AND(ISBLANK(P40:P44)),AND(ISBLANK(AD40:AD44))), "·", bdRateExtend( M40:M44,P40:P44, AA40:AA44,AD40:AD44))</f>
        <v>·</v>
      </c>
      <c r="AO40" s="41" t="str">
        <f t="array" ref="AO40">IF( OR(AND(ISBLANK(M40:M44)),AND(ISBLANK(AA40:AA44)), AND(ISBLANK(Q40:Q44)),AND(ISBLANK(AE40:AE44))), "·", bdRateExtend( M40:M44,Q40:Q44, AA40:AA44,AE40:AE44))</f>
        <v>·</v>
      </c>
      <c r="AP40" s="41" t="str">
        <f t="array" ref="AP40">IF( OR(AND(ISBLANK(M40:M44)),AND(ISBLANK(AA40:AA44)), AND(ISBLANK(R40:R44)),AND(ISBLANK(AF40:AF44))), "·", bdRateExtend( M40:M44,R40:R44, AA40:AA44,AF40:AF44))</f>
        <v>·</v>
      </c>
      <c r="AQ40" s="41" t="str">
        <f t="array" ref="AQ40">IF( OR(AND(ISBLANK(M40:M44)),AND(ISBLANK(AA40:AA44)), AND(ISBLANK(S40:S44)),AND(ISBLANK(AG40:AG44))), "·", bdRateExtend( M40:M44,S40:S44, AA40:AA44,AG40:AG44))</f>
        <v>·</v>
      </c>
      <c r="AR40" s="41" t="str">
        <f t="array" ref="AR40">IF( OR(AND(ISBLANK(M40:M44)),AND(ISBLANK(AA40:AA44)), AND(ISBLANK(T40:T44)),AND(ISBLANK(AH40:AH44))), "·", bdRateExtend( M40:M44,T40:T44, AA40:AA44,AH40:AH44))</f>
        <v>·</v>
      </c>
    </row>
    <row r="41" spans="1:44" outlineLevel="1" x14ac:dyDescent="0.25">
      <c r="A41" s="18"/>
      <c r="B41" s="18" t="s">
        <v>184</v>
      </c>
      <c r="C41" s="20" t="s">
        <v>285</v>
      </c>
      <c r="D41" s="18">
        <v>9000000</v>
      </c>
      <c r="E41" s="19">
        <v>12</v>
      </c>
      <c r="F41" s="20">
        <v>300</v>
      </c>
      <c r="G41" s="20">
        <v>30</v>
      </c>
      <c r="H41" s="20">
        <v>6</v>
      </c>
      <c r="J41" s="21" t="str">
        <f t="shared" si="0"/>
        <v>·</v>
      </c>
      <c r="K41" s="22" t="str">
        <f t="shared" si="1"/>
        <v>·</v>
      </c>
      <c r="L41" s="45"/>
      <c r="M41" s="23"/>
      <c r="N41" s="46"/>
      <c r="O41" s="46"/>
      <c r="P41" s="46"/>
      <c r="Q41" s="46"/>
      <c r="R41" s="46"/>
      <c r="S41" s="46"/>
      <c r="T41" s="46"/>
      <c r="U41" s="24"/>
      <c r="V41" s="24"/>
      <c r="X41" s="21" t="str">
        <f t="shared" si="2"/>
        <v>·</v>
      </c>
      <c r="Y41" s="22" t="str">
        <f t="shared" si="3"/>
        <v>·</v>
      </c>
      <c r="Z41" s="45"/>
      <c r="AA41" s="23"/>
      <c r="AB41" s="46"/>
      <c r="AC41" s="46"/>
      <c r="AD41" s="46"/>
      <c r="AE41" s="46"/>
      <c r="AF41" s="46"/>
      <c r="AG41" s="46"/>
      <c r="AH41" s="46"/>
      <c r="AI41" s="24"/>
      <c r="AJ41" s="24"/>
      <c r="AL41" s="25"/>
      <c r="AM41" s="25"/>
      <c r="AN41" s="25"/>
      <c r="AO41" s="25"/>
      <c r="AP41" s="25"/>
      <c r="AQ41" s="25"/>
      <c r="AR41" s="25"/>
    </row>
    <row r="42" spans="1:44" outlineLevel="1" x14ac:dyDescent="0.25">
      <c r="A42" s="34"/>
      <c r="B42" s="34" t="s">
        <v>184</v>
      </c>
      <c r="C42" s="36" t="s">
        <v>286</v>
      </c>
      <c r="D42" s="34">
        <v>9000000</v>
      </c>
      <c r="E42" s="35">
        <v>12</v>
      </c>
      <c r="F42" s="36">
        <v>300</v>
      </c>
      <c r="G42" s="36">
        <v>30</v>
      </c>
      <c r="H42" s="36">
        <v>11</v>
      </c>
      <c r="J42" s="37" t="str">
        <f t="shared" si="0"/>
        <v>·</v>
      </c>
      <c r="K42" s="38" t="str">
        <f t="shared" si="1"/>
        <v>·</v>
      </c>
      <c r="L42" s="47"/>
      <c r="M42" s="39"/>
      <c r="N42" s="48"/>
      <c r="O42" s="48"/>
      <c r="P42" s="48"/>
      <c r="Q42" s="48"/>
      <c r="R42" s="48"/>
      <c r="S42" s="48"/>
      <c r="T42" s="48"/>
      <c r="U42" s="40"/>
      <c r="V42" s="40"/>
      <c r="X42" s="37" t="str">
        <f t="shared" si="2"/>
        <v>·</v>
      </c>
      <c r="Y42" s="38" t="str">
        <f t="shared" si="3"/>
        <v>·</v>
      </c>
      <c r="Z42" s="47"/>
      <c r="AA42" s="39"/>
      <c r="AB42" s="48"/>
      <c r="AC42" s="48"/>
      <c r="AD42" s="48"/>
      <c r="AE42" s="48"/>
      <c r="AF42" s="48"/>
      <c r="AG42" s="48"/>
      <c r="AH42" s="48"/>
      <c r="AI42" s="40"/>
      <c r="AJ42" s="40"/>
      <c r="AL42" s="41"/>
      <c r="AM42" s="41"/>
      <c r="AN42" s="41"/>
      <c r="AO42" s="41"/>
      <c r="AP42" s="41"/>
      <c r="AQ42" s="41"/>
      <c r="AR42" s="41"/>
    </row>
    <row r="43" spans="1:44" outlineLevel="1" x14ac:dyDescent="0.25">
      <c r="A43" s="18"/>
      <c r="B43" s="18" t="s">
        <v>184</v>
      </c>
      <c r="C43" s="20" t="s">
        <v>287</v>
      </c>
      <c r="D43" s="18">
        <v>9000000</v>
      </c>
      <c r="E43" s="19">
        <v>12</v>
      </c>
      <c r="F43" s="20">
        <v>300</v>
      </c>
      <c r="G43" s="20">
        <v>30</v>
      </c>
      <c r="H43" s="20">
        <v>16</v>
      </c>
      <c r="J43" s="21" t="str">
        <f t="shared" si="0"/>
        <v>·</v>
      </c>
      <c r="K43" s="22" t="str">
        <f t="shared" si="1"/>
        <v>·</v>
      </c>
      <c r="L43" s="45"/>
      <c r="M43" s="23"/>
      <c r="N43" s="46"/>
      <c r="O43" s="46"/>
      <c r="P43" s="46"/>
      <c r="Q43" s="46"/>
      <c r="R43" s="46"/>
      <c r="S43" s="46"/>
      <c r="T43" s="46"/>
      <c r="U43" s="24"/>
      <c r="V43" s="24"/>
      <c r="X43" s="21" t="str">
        <f t="shared" si="2"/>
        <v>·</v>
      </c>
      <c r="Y43" s="22" t="str">
        <f t="shared" si="3"/>
        <v>·</v>
      </c>
      <c r="Z43" s="45"/>
      <c r="AA43" s="23"/>
      <c r="AB43" s="46"/>
      <c r="AC43" s="46"/>
      <c r="AD43" s="46"/>
      <c r="AE43" s="46"/>
      <c r="AF43" s="46"/>
      <c r="AG43" s="46"/>
      <c r="AH43" s="46"/>
      <c r="AI43" s="24"/>
      <c r="AJ43" s="24"/>
      <c r="AL43" s="25"/>
      <c r="AM43" s="25"/>
      <c r="AN43" s="25"/>
      <c r="AO43" s="25"/>
      <c r="AP43" s="25"/>
      <c r="AQ43" s="25"/>
      <c r="AR43" s="25"/>
    </row>
    <row r="44" spans="1:44" ht="15.75" outlineLevel="1" thickBot="1" x14ac:dyDescent="0.3">
      <c r="A44" s="26"/>
      <c r="B44" s="26" t="s">
        <v>184</v>
      </c>
      <c r="C44" s="28" t="s">
        <v>288</v>
      </c>
      <c r="D44" s="26">
        <v>9000000</v>
      </c>
      <c r="E44" s="27">
        <v>12</v>
      </c>
      <c r="F44" s="28">
        <v>300</v>
      </c>
      <c r="G44" s="28">
        <v>30</v>
      </c>
      <c r="H44" s="28">
        <v>24</v>
      </c>
      <c r="J44" s="29" t="str">
        <f t="shared" si="0"/>
        <v>·</v>
      </c>
      <c r="K44" s="30" t="str">
        <f t="shared" si="1"/>
        <v>·</v>
      </c>
      <c r="L44" s="59"/>
      <c r="M44" s="31"/>
      <c r="N44" s="60"/>
      <c r="O44" s="60"/>
      <c r="P44" s="60"/>
      <c r="Q44" s="60"/>
      <c r="R44" s="60"/>
      <c r="S44" s="60"/>
      <c r="T44" s="60"/>
      <c r="U44" s="32"/>
      <c r="V44" s="32"/>
      <c r="X44" s="29" t="str">
        <f t="shared" si="2"/>
        <v>·</v>
      </c>
      <c r="Y44" s="30" t="str">
        <f t="shared" si="3"/>
        <v>·</v>
      </c>
      <c r="Z44" s="59"/>
      <c r="AA44" s="31"/>
      <c r="AB44" s="60"/>
      <c r="AC44" s="60"/>
      <c r="AD44" s="60"/>
      <c r="AE44" s="60"/>
      <c r="AF44" s="60"/>
      <c r="AG44" s="60"/>
      <c r="AH44" s="60"/>
      <c r="AI44" s="32"/>
      <c r="AJ44" s="32"/>
      <c r="AL44" s="33"/>
      <c r="AM44" s="33"/>
      <c r="AN44" s="33"/>
      <c r="AO44" s="33"/>
      <c r="AP44" s="33"/>
      <c r="AQ44" s="33"/>
      <c r="AR44" s="33"/>
    </row>
    <row r="45" spans="1:44" x14ac:dyDescent="0.25">
      <c r="B45" s="42" t="s">
        <v>187</v>
      </c>
      <c r="K45" s="43" t="e">
        <f>AVERAGE(K5:K14)</f>
        <v>#DIV/0!</v>
      </c>
      <c r="Y45" s="43" t="e">
        <f>AVERAGE(Y5:Y14)</f>
        <v>#DIV/0!</v>
      </c>
      <c r="AL45" s="6" t="e">
        <f t="shared" ref="AL45:AR45" si="4">AVERAGE(AL5:AL14)</f>
        <v>#DIV/0!</v>
      </c>
      <c r="AM45" s="6" t="e">
        <f t="shared" si="4"/>
        <v>#DIV/0!</v>
      </c>
      <c r="AN45" s="6" t="e">
        <f t="shared" si="4"/>
        <v>#DIV/0!</v>
      </c>
      <c r="AO45" s="6" t="e">
        <f t="shared" si="4"/>
        <v>#DIV/0!</v>
      </c>
      <c r="AP45" s="6" t="e">
        <f t="shared" si="4"/>
        <v>#DIV/0!</v>
      </c>
      <c r="AQ45" s="6" t="e">
        <f t="shared" si="4"/>
        <v>#DIV/0!</v>
      </c>
      <c r="AR45" s="6" t="e">
        <f t="shared" si="4"/>
        <v>#DIV/0!</v>
      </c>
    </row>
    <row r="46" spans="1:44" x14ac:dyDescent="0.25">
      <c r="B46" s="42" t="s">
        <v>188</v>
      </c>
      <c r="K46" s="43" t="e">
        <f>AVERAGE(K15:K24)</f>
        <v>#DIV/0!</v>
      </c>
      <c r="Y46" s="43" t="e">
        <f>AVERAGE(Y15:Y24)</f>
        <v>#DIV/0!</v>
      </c>
      <c r="AL46" s="6" t="e">
        <f t="shared" ref="AL46:AR46" si="5">AVERAGE(AL15:AL24)</f>
        <v>#DIV/0!</v>
      </c>
      <c r="AM46" s="6" t="e">
        <f t="shared" si="5"/>
        <v>#DIV/0!</v>
      </c>
      <c r="AN46" s="6" t="e">
        <f t="shared" si="5"/>
        <v>#DIV/0!</v>
      </c>
      <c r="AO46" s="6" t="e">
        <f t="shared" si="5"/>
        <v>#DIV/0!</v>
      </c>
      <c r="AP46" s="6" t="e">
        <f t="shared" si="5"/>
        <v>#DIV/0!</v>
      </c>
      <c r="AQ46" s="6" t="e">
        <f t="shared" si="5"/>
        <v>#DIV/0!</v>
      </c>
      <c r="AR46" s="6" t="e">
        <f t="shared" si="5"/>
        <v>#DIV/0!</v>
      </c>
    </row>
    <row r="47" spans="1:44" x14ac:dyDescent="0.25">
      <c r="B47" s="42" t="s">
        <v>189</v>
      </c>
      <c r="K47" s="43" t="e">
        <f>AVERAGE(K25:K44)</f>
        <v>#DIV/0!</v>
      </c>
      <c r="Y47" s="43" t="e">
        <f>AVERAGE(Y25:Y44)</f>
        <v>#DIV/0!</v>
      </c>
      <c r="AL47" s="6" t="e">
        <f t="shared" ref="AL47:AR47" si="6">AVERAGE(AL25:AL44)</f>
        <v>#DIV/0!</v>
      </c>
      <c r="AM47" s="6" t="e">
        <f t="shared" si="6"/>
        <v>#DIV/0!</v>
      </c>
      <c r="AN47" s="6" t="e">
        <f t="shared" si="6"/>
        <v>#DIV/0!</v>
      </c>
      <c r="AO47" s="6" t="e">
        <f t="shared" si="6"/>
        <v>#DIV/0!</v>
      </c>
      <c r="AP47" s="6" t="e">
        <f t="shared" si="6"/>
        <v>#DIV/0!</v>
      </c>
      <c r="AQ47" s="6" t="e">
        <f t="shared" si="6"/>
        <v>#DIV/0!</v>
      </c>
      <c r="AR47" s="6" t="e">
        <f t="shared" si="6"/>
        <v>#DIV/0!</v>
      </c>
    </row>
    <row r="48" spans="1:44" x14ac:dyDescent="0.25">
      <c r="B48" s="42" t="s">
        <v>190</v>
      </c>
      <c r="K48" s="43" t="e">
        <f>AVERAGE(K5:K44)</f>
        <v>#DIV/0!</v>
      </c>
      <c r="Y48" s="43" t="e">
        <f>AVERAGE(Y5:Y44)</f>
        <v>#DIV/0!</v>
      </c>
      <c r="AL48" s="6" t="e">
        <f t="shared" ref="AL48:AR48" si="7">AVERAGE(AL5:AL44)</f>
        <v>#DIV/0!</v>
      </c>
      <c r="AM48" s="6" t="e">
        <f t="shared" si="7"/>
        <v>#DIV/0!</v>
      </c>
      <c r="AN48" s="6" t="e">
        <f t="shared" si="7"/>
        <v>#DIV/0!</v>
      </c>
      <c r="AO48" s="6" t="e">
        <f t="shared" si="7"/>
        <v>#DIV/0!</v>
      </c>
      <c r="AP48" s="6" t="e">
        <f t="shared" si="7"/>
        <v>#DIV/0!</v>
      </c>
      <c r="AQ48" s="6" t="e">
        <f t="shared" si="7"/>
        <v>#DIV/0!</v>
      </c>
      <c r="AR48" s="6" t="e">
        <f t="shared" si="7"/>
        <v>#DIV/0!</v>
      </c>
    </row>
    <row r="49" spans="1:36" x14ac:dyDescent="0.25">
      <c r="A49" s="42" t="s">
        <v>191</v>
      </c>
      <c r="B49" s="42" t="s">
        <v>192</v>
      </c>
      <c r="U49" s="44">
        <f>SUM(U5:U14,U15:U24,U25:U44)</f>
        <v>0</v>
      </c>
      <c r="V49" s="44">
        <f>SUM(V5:V14,V15:V24,V25:V44)</f>
        <v>0</v>
      </c>
      <c r="AI49" s="44">
        <f>SUM(AI5:AI14,AI15:AI24,AI25:AI44)</f>
        <v>0</v>
      </c>
      <c r="AJ49" s="44">
        <f>SUM(AJ5:AJ14,AJ15:AJ24,AJ25:AJ44)</f>
        <v>0</v>
      </c>
    </row>
    <row r="50" spans="1:36" x14ac:dyDescent="0.25">
      <c r="B50" s="42" t="s">
        <v>193</v>
      </c>
      <c r="AI50" s="9" t="e">
        <f>AI49/U49</f>
        <v>#DIV/0!</v>
      </c>
      <c r="AJ50" s="9" t="e">
        <f>AJ49/V49</f>
        <v>#DIV/0!</v>
      </c>
    </row>
  </sheetData>
  <mergeCells count="29">
    <mergeCell ref="AQ2:AR2"/>
    <mergeCell ref="A1:H1"/>
    <mergeCell ref="J1:V1"/>
    <mergeCell ref="X1:AJ1"/>
    <mergeCell ref="AB2:AF2"/>
    <mergeCell ref="AG2:AH2"/>
    <mergeCell ref="AI2:AI3"/>
    <mergeCell ref="AJ2:AJ3"/>
    <mergeCell ref="AL2:AP2"/>
    <mergeCell ref="V2:V3"/>
    <mergeCell ref="X2:X3"/>
    <mergeCell ref="Y2:Y3"/>
    <mergeCell ref="Z2:Z3"/>
    <mergeCell ref="AA2:AA3"/>
    <mergeCell ref="L2:L3"/>
    <mergeCell ref="M2:M3"/>
    <mergeCell ref="A2:A3"/>
    <mergeCell ref="B2:B3"/>
    <mergeCell ref="C2:C3"/>
    <mergeCell ref="D2:D3"/>
    <mergeCell ref="E2:E3"/>
    <mergeCell ref="N2:R2"/>
    <mergeCell ref="S2:T2"/>
    <mergeCell ref="U2:U3"/>
    <mergeCell ref="F2:F3"/>
    <mergeCell ref="G2:G3"/>
    <mergeCell ref="H2:H3"/>
    <mergeCell ref="J2:J3"/>
    <mergeCell ref="K2:K3"/>
  </mergeCells>
  <conditionalFormatting sqref="AL5 AL6 AL7 AL8 AL9 AL10 AL11 AL12 AL13 AL14 AL15 AL16 AL17 AL18 AL19 AL20 AL21 AL22 AL23 AL24 AL25 AL26 AL27 AL28 AL29 AL30 AL31 AL32 AL33 AL34 AL35 AL36 AL37 AL38 AL39 AL40 AL41 AL42 AL43 AL44 AL45 AL46 AL47 AL48">
    <cfRule type="cellIs" dxfId="31" priority="3" operator="greaterThanOrEqual">
      <formula>0.03</formula>
    </cfRule>
    <cfRule type="cellIs" dxfId="30" priority="4"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29" priority="5" operator="greaterThanOrEqual">
      <formula>0.03</formula>
    </cfRule>
    <cfRule type="cellIs" dxfId="28" priority="6"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27" priority="13" operator="greaterThanOrEqual">
      <formula>0.03</formula>
    </cfRule>
    <cfRule type="cellIs" dxfId="26" priority="14"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25" priority="15" operator="greaterThanOrEqual">
      <formula>0.03</formula>
    </cfRule>
    <cfRule type="cellIs" dxfId="24" priority="16"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23" priority="7" operator="greaterThanOrEqual">
      <formula>0.03</formula>
    </cfRule>
    <cfRule type="cellIs" dxfId="22" priority="8"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21" priority="9" operator="greaterThanOrEqual">
      <formula>0.03</formula>
    </cfRule>
    <cfRule type="cellIs" dxfId="20" priority="10"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19" priority="11" operator="greaterThanOrEqual">
      <formula>0.03</formula>
    </cfRule>
    <cfRule type="cellIs" dxfId="18" priority="12" operator="lessThanOrEqual">
      <formula>-0.03</formula>
    </cfRule>
  </conditionalFormatting>
  <conditionalFormatting sqref="J5:J45">
    <cfRule type="expression" dxfId="17" priority="2">
      <formula>OR(J5 &lt; H5 * 0.9, J5 &gt; H5)</formula>
    </cfRule>
  </conditionalFormatting>
  <conditionalFormatting sqref="X5:X45">
    <cfRule type="expression" dxfId="16" priority="1">
      <formula>OR(X5 &lt; H5 * 0.9, X5 &gt; H5)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AR50"/>
  <sheetViews>
    <sheetView zoomScale="55" zoomScaleNormal="55" workbookViewId="0">
      <pane xSplit="2" ySplit="4" topLeftCell="H5" activePane="bottomRight" state="frozen"/>
      <selection pane="topRight" activeCell="C1" sqref="C1"/>
      <selection pane="bottomLeft" activeCell="A5" sqref="A5"/>
      <selection pane="bottomRight" sqref="A1:H1"/>
    </sheetView>
  </sheetViews>
  <sheetFormatPr defaultColWidth="9.140625" defaultRowHeight="15" outlineLevelRow="1" x14ac:dyDescent="0.25"/>
  <cols>
    <col min="2" max="2" width="24.7109375" customWidth="1"/>
    <col min="4" max="5" width="10.7109375" customWidth="1"/>
    <col min="9" max="9" width="1.7109375" customWidth="1"/>
    <col min="11" max="12" width="10.7109375" customWidth="1"/>
    <col min="13" max="13" width="12.7109375" customWidth="1"/>
    <col min="14" max="20" width="11.7109375" customWidth="1"/>
    <col min="23" max="23" width="1.7109375" customWidth="1"/>
    <col min="25" max="26" width="10.7109375" customWidth="1"/>
    <col min="27" max="27" width="12.7109375" customWidth="1"/>
    <col min="28" max="34" width="11.7109375" customWidth="1"/>
    <col min="37" max="37" width="1.7109375" customWidth="1"/>
    <col min="40" max="44" width="11.7109375" customWidth="1"/>
    <col min="45" max="45" width="1.7109375" customWidth="1"/>
  </cols>
  <sheetData>
    <row r="1" spans="1:44" x14ac:dyDescent="0.25">
      <c r="A1" s="71" t="s">
        <v>351</v>
      </c>
      <c r="B1" s="71"/>
      <c r="C1" s="71"/>
      <c r="D1" s="71"/>
      <c r="E1" s="71"/>
      <c r="F1" s="71"/>
      <c r="G1" s="71"/>
      <c r="H1" s="71"/>
      <c r="J1" s="61" t="str">
        <f>Summary!C1</f>
        <v>anchor</v>
      </c>
      <c r="K1" s="61"/>
      <c r="L1" s="61"/>
      <c r="M1" s="61"/>
      <c r="N1" s="61"/>
      <c r="O1" s="61"/>
      <c r="P1" s="61"/>
      <c r="Q1" s="61"/>
      <c r="R1" s="61"/>
      <c r="S1" s="61"/>
      <c r="T1" s="61"/>
      <c r="U1" s="61"/>
      <c r="V1" s="61"/>
      <c r="X1" s="62" t="str">
        <f>Summary!C2</f>
        <v>proposal</v>
      </c>
      <c r="Y1" s="62"/>
      <c r="Z1" s="62"/>
      <c r="AA1" s="62"/>
      <c r="AB1" s="62"/>
      <c r="AC1" s="62"/>
      <c r="AD1" s="62"/>
      <c r="AE1" s="62"/>
      <c r="AF1" s="62"/>
      <c r="AG1" s="62"/>
      <c r="AH1" s="62"/>
      <c r="AI1" s="62"/>
      <c r="AJ1" s="62"/>
    </row>
    <row r="2" spans="1:44" ht="30" customHeight="1" x14ac:dyDescent="0.25">
      <c r="A2" s="70" t="s">
        <v>114</v>
      </c>
      <c r="B2" s="69" t="s">
        <v>117</v>
      </c>
      <c r="C2" s="70" t="s">
        <v>203</v>
      </c>
      <c r="D2" s="69" t="s">
        <v>120</v>
      </c>
      <c r="E2" s="70" t="s">
        <v>123</v>
      </c>
      <c r="F2" s="69" t="s">
        <v>126</v>
      </c>
      <c r="G2" s="70" t="s">
        <v>129</v>
      </c>
      <c r="H2" s="69" t="s">
        <v>210</v>
      </c>
      <c r="J2" s="70" t="s">
        <v>82</v>
      </c>
      <c r="K2" s="69" t="s">
        <v>86</v>
      </c>
      <c r="L2" s="70" t="s">
        <v>30</v>
      </c>
      <c r="M2" s="69" t="s">
        <v>74</v>
      </c>
      <c r="N2" s="72" t="s">
        <v>218</v>
      </c>
      <c r="O2" s="72"/>
      <c r="P2" s="72"/>
      <c r="Q2" s="72"/>
      <c r="R2" s="72"/>
      <c r="S2" s="73" t="s">
        <v>234</v>
      </c>
      <c r="T2" s="73"/>
      <c r="U2" s="70" t="s">
        <v>76</v>
      </c>
      <c r="V2" s="69" t="s">
        <v>56</v>
      </c>
      <c r="X2" s="70" t="s">
        <v>82</v>
      </c>
      <c r="Y2" s="69" t="s">
        <v>86</v>
      </c>
      <c r="Z2" s="70" t="s">
        <v>30</v>
      </c>
      <c r="AA2" s="69" t="s">
        <v>74</v>
      </c>
      <c r="AB2" s="72" t="s">
        <v>218</v>
      </c>
      <c r="AC2" s="72"/>
      <c r="AD2" s="72"/>
      <c r="AE2" s="72"/>
      <c r="AF2" s="72"/>
      <c r="AG2" s="73" t="s">
        <v>234</v>
      </c>
      <c r="AH2" s="73"/>
      <c r="AI2" s="70" t="s">
        <v>76</v>
      </c>
      <c r="AJ2" s="69" t="s">
        <v>56</v>
      </c>
      <c r="AL2" s="72" t="s">
        <v>263</v>
      </c>
      <c r="AM2" s="72"/>
      <c r="AN2" s="72"/>
      <c r="AO2" s="72"/>
      <c r="AP2" s="72"/>
      <c r="AQ2" s="73" t="s">
        <v>274</v>
      </c>
      <c r="AR2" s="73"/>
    </row>
    <row r="3" spans="1:44" ht="15.75" thickBot="1" x14ac:dyDescent="0.3">
      <c r="A3" s="70"/>
      <c r="B3" s="69"/>
      <c r="C3" s="70"/>
      <c r="D3" s="69"/>
      <c r="E3" s="70"/>
      <c r="F3" s="69"/>
      <c r="G3" s="70"/>
      <c r="H3" s="69"/>
      <c r="J3" s="70"/>
      <c r="K3" s="69"/>
      <c r="L3" s="70"/>
      <c r="M3" s="69"/>
      <c r="N3" s="14" t="s">
        <v>219</v>
      </c>
      <c r="O3" s="14" t="s">
        <v>222</v>
      </c>
      <c r="P3" s="14" t="s">
        <v>225</v>
      </c>
      <c r="Q3" s="14" t="s">
        <v>228</v>
      </c>
      <c r="R3" s="14" t="s">
        <v>231</v>
      </c>
      <c r="S3" s="15" t="s">
        <v>235</v>
      </c>
      <c r="T3" s="15" t="s">
        <v>225</v>
      </c>
      <c r="U3" s="70"/>
      <c r="V3" s="69"/>
      <c r="X3" s="70"/>
      <c r="Y3" s="69"/>
      <c r="Z3" s="70"/>
      <c r="AA3" s="69"/>
      <c r="AB3" s="14" t="s">
        <v>219</v>
      </c>
      <c r="AC3" s="14" t="s">
        <v>222</v>
      </c>
      <c r="AD3" s="14" t="s">
        <v>225</v>
      </c>
      <c r="AE3" s="14" t="s">
        <v>228</v>
      </c>
      <c r="AF3" s="14" t="s">
        <v>231</v>
      </c>
      <c r="AG3" s="15" t="s">
        <v>235</v>
      </c>
      <c r="AH3" s="15" t="s">
        <v>225</v>
      </c>
      <c r="AI3" s="70"/>
      <c r="AJ3" s="69"/>
      <c r="AL3" s="14" t="s">
        <v>219</v>
      </c>
      <c r="AM3" s="14" t="s">
        <v>222</v>
      </c>
      <c r="AN3" s="14" t="s">
        <v>225</v>
      </c>
      <c r="AO3" s="14" t="s">
        <v>228</v>
      </c>
      <c r="AP3" s="14" t="s">
        <v>231</v>
      </c>
      <c r="AQ3" s="15" t="s">
        <v>235</v>
      </c>
      <c r="AR3" s="15" t="s">
        <v>225</v>
      </c>
    </row>
    <row r="4" spans="1:44" ht="53.25" hidden="1" x14ac:dyDescent="0.25">
      <c r="A4" s="16" t="s">
        <v>115</v>
      </c>
      <c r="B4" s="17" t="s">
        <v>118</v>
      </c>
      <c r="C4" s="16" t="s">
        <v>204</v>
      </c>
      <c r="D4" s="17" t="s">
        <v>121</v>
      </c>
      <c r="E4" s="16" t="s">
        <v>124</v>
      </c>
      <c r="F4" s="17" t="s">
        <v>127</v>
      </c>
      <c r="G4" s="16" t="s">
        <v>130</v>
      </c>
      <c r="H4" s="17" t="s">
        <v>211</v>
      </c>
      <c r="J4" s="16" t="s">
        <v>132</v>
      </c>
      <c r="K4" s="17" t="s">
        <v>134</v>
      </c>
      <c r="L4" s="16" t="s">
        <v>215</v>
      </c>
      <c r="M4" s="17" t="s">
        <v>136</v>
      </c>
      <c r="N4" s="16" t="s">
        <v>220</v>
      </c>
      <c r="O4" s="16" t="s">
        <v>223</v>
      </c>
      <c r="P4" s="16" t="s">
        <v>226</v>
      </c>
      <c r="Q4" s="16" t="s">
        <v>229</v>
      </c>
      <c r="R4" s="16" t="s">
        <v>232</v>
      </c>
      <c r="S4" s="17" t="s">
        <v>236</v>
      </c>
      <c r="T4" s="17" t="s">
        <v>238</v>
      </c>
      <c r="U4" s="16" t="s">
        <v>138</v>
      </c>
      <c r="V4" s="17" t="s">
        <v>140</v>
      </c>
      <c r="X4" s="16" t="s">
        <v>142</v>
      </c>
      <c r="Y4" s="17" t="s">
        <v>144</v>
      </c>
      <c r="Z4" s="16" t="s">
        <v>244</v>
      </c>
      <c r="AA4" s="17" t="s">
        <v>146</v>
      </c>
      <c r="AB4" s="16" t="s">
        <v>247</v>
      </c>
      <c r="AC4" s="16" t="s">
        <v>249</v>
      </c>
      <c r="AD4" s="16" t="s">
        <v>251</v>
      </c>
      <c r="AE4" s="16" t="s">
        <v>253</v>
      </c>
      <c r="AF4" s="16" t="s">
        <v>255</v>
      </c>
      <c r="AG4" s="17" t="s">
        <v>257</v>
      </c>
      <c r="AH4" s="17" t="s">
        <v>259</v>
      </c>
      <c r="AI4" s="16" t="s">
        <v>148</v>
      </c>
      <c r="AJ4" s="17" t="s">
        <v>150</v>
      </c>
      <c r="AL4" s="16" t="s">
        <v>264</v>
      </c>
      <c r="AM4" s="16" t="s">
        <v>266</v>
      </c>
      <c r="AN4" s="16" t="s">
        <v>268</v>
      </c>
      <c r="AO4" s="16" t="s">
        <v>270</v>
      </c>
      <c r="AP4" s="16" t="s">
        <v>272</v>
      </c>
      <c r="AQ4" s="17" t="s">
        <v>275</v>
      </c>
      <c r="AR4" s="17" t="s">
        <v>277</v>
      </c>
    </row>
    <row r="5" spans="1:44" x14ac:dyDescent="0.25">
      <c r="A5" s="18" t="s">
        <v>161</v>
      </c>
      <c r="B5" s="18" t="s">
        <v>160</v>
      </c>
      <c r="C5" s="20" t="s">
        <v>284</v>
      </c>
      <c r="D5" s="18">
        <v>11997440</v>
      </c>
      <c r="E5" s="19">
        <v>10</v>
      </c>
      <c r="F5" s="20">
        <v>300</v>
      </c>
      <c r="G5" s="20">
        <v>30</v>
      </c>
      <c r="H5" s="20">
        <v>4</v>
      </c>
      <c r="J5" s="21" t="str">
        <f t="shared" ref="J5:J44" si="0">IF(OR(ISBLANK(M5),ISBLANK(G5)),"·",M5*G5/F5/1000000)</f>
        <v>·</v>
      </c>
      <c r="K5" s="22" t="str">
        <f t="shared" ref="K5:K44" si="1">IF(ISBLANK(M5),"·",M5/D5)</f>
        <v>·</v>
      </c>
      <c r="L5" s="45"/>
      <c r="M5" s="23"/>
      <c r="N5" s="46"/>
      <c r="O5" s="46"/>
      <c r="P5" s="46"/>
      <c r="Q5" s="46"/>
      <c r="R5" s="46"/>
      <c r="S5" s="46"/>
      <c r="T5" s="46"/>
      <c r="U5" s="24"/>
      <c r="V5" s="24"/>
      <c r="X5" s="21" t="str">
        <f t="shared" ref="X5:X44" si="2">IF(OR(ISBLANK(AA5),ISBLANK(G5)),"·",AA5*G5/F5/1000000)</f>
        <v>·</v>
      </c>
      <c r="Y5" s="22" t="str">
        <f t="shared" ref="Y5:Y44" si="3">IF(ISBLANK(AA5),"·",AA5/D5)</f>
        <v>·</v>
      </c>
      <c r="Z5" s="45"/>
      <c r="AA5" s="23"/>
      <c r="AB5" s="46"/>
      <c r="AC5" s="46"/>
      <c r="AD5" s="46"/>
      <c r="AE5" s="46"/>
      <c r="AF5" s="46"/>
      <c r="AG5" s="46"/>
      <c r="AH5" s="46"/>
      <c r="AI5" s="24"/>
      <c r="AJ5" s="24"/>
      <c r="AL5" s="25" t="str">
        <f t="array" ref="AL5">IF( OR(AND(ISBLANK(M5:M9)),AND(ISBLANK(AA5:AA9)), AND(ISBLANK(N5:N9)),AND(ISBLANK(AB5:AB9))), "·", bdRateExtend( M5:M9,N5:N9, AA5:AA9,AB5:AB9))</f>
        <v>·</v>
      </c>
      <c r="AM5" s="25" t="str">
        <f t="array" ref="AM5">IF( OR(AND(ISBLANK(M5:M9)),AND(ISBLANK(AA5:AA9)), AND(ISBLANK(O5:O9)),AND(ISBLANK(AC5:AC9))), "·", bdRateExtend( M5:M9,O5:O9, AA5:AA9,AC5:AC9))</f>
        <v>·</v>
      </c>
      <c r="AN5" s="25" t="str">
        <f t="array" ref="AN5">IF( OR(AND(ISBLANK(M5:M9)),AND(ISBLANK(AA5:AA9)), AND(ISBLANK(P5:P9)),AND(ISBLANK(AD5:AD9))), "·", bdRateExtend( M5:M9,P5:P9, AA5:AA9,AD5:AD9))</f>
        <v>·</v>
      </c>
      <c r="AO5" s="25" t="str">
        <f t="array" ref="AO5">IF( OR(AND(ISBLANK(M5:M9)),AND(ISBLANK(AA5:AA9)), AND(ISBLANK(Q5:Q9)),AND(ISBLANK(AE5:AE9))), "·", bdRateExtend( M5:M9,Q5:Q9, AA5:AA9,AE5:AE9))</f>
        <v>·</v>
      </c>
      <c r="AP5" s="25" t="str">
        <f t="array" ref="AP5">IF( OR(AND(ISBLANK(M5:M9)),AND(ISBLANK(AA5:AA9)), AND(ISBLANK(R5:R9)),AND(ISBLANK(AF5:AF9))), "·", bdRateExtend( M5:M9,R5:R9, AA5:AA9,AF5:AF9))</f>
        <v>·</v>
      </c>
      <c r="AQ5" s="25" t="str">
        <f t="array" ref="AQ5">IF( OR(AND(ISBLANK(M5:M9)),AND(ISBLANK(AA5:AA9)), AND(ISBLANK(S5:S9)),AND(ISBLANK(AG5:AG9))), "·", bdRateExtend( M5:M9,S5:S9, AA5:AA9,AG5:AG9))</f>
        <v>·</v>
      </c>
      <c r="AR5" s="25" t="str">
        <f t="array" ref="AR5">IF( OR(AND(ISBLANK(M5:M9)),AND(ISBLANK(AA5:AA9)), AND(ISBLANK(T5:T9)),AND(ISBLANK(AH5:AH9))), "·", bdRateExtend( M5:M9,T5:T9, AA5:AA9,AH5:AH9))</f>
        <v>·</v>
      </c>
    </row>
    <row r="6" spans="1:44" outlineLevel="1" x14ac:dyDescent="0.25">
      <c r="A6" s="34"/>
      <c r="B6" s="34" t="s">
        <v>160</v>
      </c>
      <c r="C6" s="36" t="s">
        <v>285</v>
      </c>
      <c r="D6" s="34">
        <v>11997440</v>
      </c>
      <c r="E6" s="35">
        <v>10</v>
      </c>
      <c r="F6" s="36">
        <v>300</v>
      </c>
      <c r="G6" s="36">
        <v>30</v>
      </c>
      <c r="H6" s="36">
        <v>8</v>
      </c>
      <c r="J6" s="37" t="str">
        <f t="shared" si="0"/>
        <v>·</v>
      </c>
      <c r="K6" s="38" t="str">
        <f t="shared" si="1"/>
        <v>·</v>
      </c>
      <c r="L6" s="47"/>
      <c r="M6" s="39"/>
      <c r="N6" s="48"/>
      <c r="O6" s="48"/>
      <c r="P6" s="48"/>
      <c r="Q6" s="48"/>
      <c r="R6" s="48"/>
      <c r="S6" s="48"/>
      <c r="T6" s="48"/>
      <c r="U6" s="40"/>
      <c r="V6" s="40"/>
      <c r="X6" s="37" t="str">
        <f t="shared" si="2"/>
        <v>·</v>
      </c>
      <c r="Y6" s="38" t="str">
        <f t="shared" si="3"/>
        <v>·</v>
      </c>
      <c r="Z6" s="47"/>
      <c r="AA6" s="39"/>
      <c r="AB6" s="48"/>
      <c r="AC6" s="48"/>
      <c r="AD6" s="48"/>
      <c r="AE6" s="48"/>
      <c r="AF6" s="48"/>
      <c r="AG6" s="48"/>
      <c r="AH6" s="48"/>
      <c r="AI6" s="40"/>
      <c r="AJ6" s="40"/>
      <c r="AL6" s="41"/>
      <c r="AM6" s="41"/>
      <c r="AN6" s="41"/>
      <c r="AO6" s="41"/>
      <c r="AP6" s="41"/>
      <c r="AQ6" s="41"/>
      <c r="AR6" s="41"/>
    </row>
    <row r="7" spans="1:44" outlineLevel="1" x14ac:dyDescent="0.25">
      <c r="A7" s="18"/>
      <c r="B7" s="18" t="s">
        <v>160</v>
      </c>
      <c r="C7" s="20" t="s">
        <v>286</v>
      </c>
      <c r="D7" s="18">
        <v>11997440</v>
      </c>
      <c r="E7" s="19">
        <v>10</v>
      </c>
      <c r="F7" s="20">
        <v>300</v>
      </c>
      <c r="G7" s="20">
        <v>30</v>
      </c>
      <c r="H7" s="20">
        <v>11</v>
      </c>
      <c r="J7" s="21" t="str">
        <f t="shared" si="0"/>
        <v>·</v>
      </c>
      <c r="K7" s="22" t="str">
        <f t="shared" si="1"/>
        <v>·</v>
      </c>
      <c r="L7" s="45"/>
      <c r="M7" s="23"/>
      <c r="N7" s="46"/>
      <c r="O7" s="46"/>
      <c r="P7" s="46"/>
      <c r="Q7" s="46"/>
      <c r="R7" s="46"/>
      <c r="S7" s="46"/>
      <c r="T7" s="46"/>
      <c r="U7" s="24"/>
      <c r="V7" s="24"/>
      <c r="X7" s="21" t="str">
        <f t="shared" si="2"/>
        <v>·</v>
      </c>
      <c r="Y7" s="22" t="str">
        <f t="shared" si="3"/>
        <v>·</v>
      </c>
      <c r="Z7" s="45"/>
      <c r="AA7" s="23"/>
      <c r="AB7" s="46"/>
      <c r="AC7" s="46"/>
      <c r="AD7" s="46"/>
      <c r="AE7" s="46"/>
      <c r="AF7" s="46"/>
      <c r="AG7" s="46"/>
      <c r="AH7" s="46"/>
      <c r="AI7" s="24"/>
      <c r="AJ7" s="24"/>
      <c r="AL7" s="25"/>
      <c r="AM7" s="25"/>
      <c r="AN7" s="25"/>
      <c r="AO7" s="25"/>
      <c r="AP7" s="25"/>
      <c r="AQ7" s="25"/>
      <c r="AR7" s="25"/>
    </row>
    <row r="8" spans="1:44" outlineLevel="1" x14ac:dyDescent="0.25">
      <c r="A8" s="34"/>
      <c r="B8" s="34" t="s">
        <v>160</v>
      </c>
      <c r="C8" s="36" t="s">
        <v>287</v>
      </c>
      <c r="D8" s="34">
        <v>11997440</v>
      </c>
      <c r="E8" s="35">
        <v>10</v>
      </c>
      <c r="F8" s="36">
        <v>300</v>
      </c>
      <c r="G8" s="36">
        <v>30</v>
      </c>
      <c r="H8" s="36">
        <v>14</v>
      </c>
      <c r="J8" s="37" t="str">
        <f t="shared" si="0"/>
        <v>·</v>
      </c>
      <c r="K8" s="38" t="str">
        <f t="shared" si="1"/>
        <v>·</v>
      </c>
      <c r="L8" s="47"/>
      <c r="M8" s="39"/>
      <c r="N8" s="48"/>
      <c r="O8" s="48"/>
      <c r="P8" s="48"/>
      <c r="Q8" s="48"/>
      <c r="R8" s="48"/>
      <c r="S8" s="48"/>
      <c r="T8" s="48"/>
      <c r="U8" s="40"/>
      <c r="V8" s="40"/>
      <c r="X8" s="37" t="str">
        <f t="shared" si="2"/>
        <v>·</v>
      </c>
      <c r="Y8" s="38" t="str">
        <f t="shared" si="3"/>
        <v>·</v>
      </c>
      <c r="Z8" s="47"/>
      <c r="AA8" s="39"/>
      <c r="AB8" s="48"/>
      <c r="AC8" s="48"/>
      <c r="AD8" s="48"/>
      <c r="AE8" s="48"/>
      <c r="AF8" s="48"/>
      <c r="AG8" s="48"/>
      <c r="AH8" s="48"/>
      <c r="AI8" s="40"/>
      <c r="AJ8" s="40"/>
      <c r="AL8" s="41"/>
      <c r="AM8" s="41"/>
      <c r="AN8" s="41"/>
      <c r="AO8" s="41"/>
      <c r="AP8" s="41"/>
      <c r="AQ8" s="41"/>
      <c r="AR8" s="41"/>
    </row>
    <row r="9" spans="1:44" ht="15.75" outlineLevel="1" thickBot="1" x14ac:dyDescent="0.3">
      <c r="A9" s="18"/>
      <c r="B9" s="49" t="s">
        <v>160</v>
      </c>
      <c r="C9" s="50" t="s">
        <v>288</v>
      </c>
      <c r="D9" s="49">
        <v>11997440</v>
      </c>
      <c r="E9" s="51">
        <v>10</v>
      </c>
      <c r="F9" s="50">
        <v>300</v>
      </c>
      <c r="G9" s="50">
        <v>30</v>
      </c>
      <c r="H9" s="50">
        <v>21</v>
      </c>
      <c r="J9" s="52" t="str">
        <f t="shared" si="0"/>
        <v>·</v>
      </c>
      <c r="K9" s="53" t="str">
        <f t="shared" si="1"/>
        <v>·</v>
      </c>
      <c r="L9" s="54"/>
      <c r="M9" s="55"/>
      <c r="N9" s="56"/>
      <c r="O9" s="56"/>
      <c r="P9" s="56"/>
      <c r="Q9" s="56"/>
      <c r="R9" s="56"/>
      <c r="S9" s="56"/>
      <c r="T9" s="56"/>
      <c r="U9" s="57"/>
      <c r="V9" s="57"/>
      <c r="X9" s="52" t="str">
        <f t="shared" si="2"/>
        <v>·</v>
      </c>
      <c r="Y9" s="53" t="str">
        <f t="shared" si="3"/>
        <v>·</v>
      </c>
      <c r="Z9" s="54"/>
      <c r="AA9" s="55"/>
      <c r="AB9" s="56"/>
      <c r="AC9" s="56"/>
      <c r="AD9" s="56"/>
      <c r="AE9" s="56"/>
      <c r="AF9" s="56"/>
      <c r="AG9" s="56"/>
      <c r="AH9" s="56"/>
      <c r="AI9" s="57"/>
      <c r="AJ9" s="57"/>
      <c r="AL9" s="58"/>
      <c r="AM9" s="58"/>
      <c r="AN9" s="58"/>
      <c r="AO9" s="58"/>
      <c r="AP9" s="58"/>
      <c r="AQ9" s="58"/>
      <c r="AR9" s="58"/>
    </row>
    <row r="10" spans="1:44" x14ac:dyDescent="0.25">
      <c r="A10" s="34"/>
      <c r="B10" s="34" t="s">
        <v>164</v>
      </c>
      <c r="C10" s="36" t="s">
        <v>284</v>
      </c>
      <c r="D10" s="34">
        <v>9000000</v>
      </c>
      <c r="E10" s="35">
        <v>10</v>
      </c>
      <c r="F10" s="36">
        <v>300</v>
      </c>
      <c r="G10" s="36">
        <v>30</v>
      </c>
      <c r="H10" s="36">
        <v>4</v>
      </c>
      <c r="J10" s="37" t="str">
        <f t="shared" si="0"/>
        <v>·</v>
      </c>
      <c r="K10" s="38" t="str">
        <f t="shared" si="1"/>
        <v>·</v>
      </c>
      <c r="L10" s="47"/>
      <c r="M10" s="39"/>
      <c r="N10" s="48"/>
      <c r="O10" s="48"/>
      <c r="P10" s="48"/>
      <c r="Q10" s="48"/>
      <c r="R10" s="48"/>
      <c r="S10" s="48"/>
      <c r="T10" s="48"/>
      <c r="U10" s="40"/>
      <c r="V10" s="40"/>
      <c r="X10" s="37" t="str">
        <f t="shared" si="2"/>
        <v>·</v>
      </c>
      <c r="Y10" s="38" t="str">
        <f t="shared" si="3"/>
        <v>·</v>
      </c>
      <c r="Z10" s="47"/>
      <c r="AA10" s="39"/>
      <c r="AB10" s="48"/>
      <c r="AC10" s="48"/>
      <c r="AD10" s="48"/>
      <c r="AE10" s="48"/>
      <c r="AF10" s="48"/>
      <c r="AG10" s="48"/>
      <c r="AH10" s="48"/>
      <c r="AI10" s="40"/>
      <c r="AJ10" s="40"/>
      <c r="AL10" s="41" t="str">
        <f t="array" ref="AL10">IF( OR(AND(ISBLANK(M10:M14)),AND(ISBLANK(AA10:AA14)), AND(ISBLANK(N10:N14)),AND(ISBLANK(AB10:AB14))), "·", bdRateExtend( M10:M14,N10:N14, AA10:AA14,AB10:AB14))</f>
        <v>·</v>
      </c>
      <c r="AM10" s="41" t="str">
        <f t="array" ref="AM10">IF( OR(AND(ISBLANK(M10:M14)),AND(ISBLANK(AA10:AA14)), AND(ISBLANK(O10:O14)),AND(ISBLANK(AC10:AC14))), "·", bdRateExtend( M10:M14,O10:O14, AA10:AA14,AC10:AC14))</f>
        <v>·</v>
      </c>
      <c r="AN10" s="41" t="str">
        <f t="array" ref="AN10">IF( OR(AND(ISBLANK(M10:M14)),AND(ISBLANK(AA10:AA14)), AND(ISBLANK(P10:P14)),AND(ISBLANK(AD10:AD14))), "·", bdRateExtend( M10:M14,P10:P14, AA10:AA14,AD10:AD14))</f>
        <v>·</v>
      </c>
      <c r="AO10" s="41" t="str">
        <f t="array" ref="AO10">IF( OR(AND(ISBLANK(M10:M14)),AND(ISBLANK(AA10:AA14)), AND(ISBLANK(Q10:Q14)),AND(ISBLANK(AE10:AE14))), "·", bdRateExtend( M10:M14,Q10:Q14, AA10:AA14,AE10:AE14))</f>
        <v>·</v>
      </c>
      <c r="AP10" s="41" t="str">
        <f t="array" ref="AP10">IF( OR(AND(ISBLANK(M10:M14)),AND(ISBLANK(AA10:AA14)), AND(ISBLANK(R10:R14)),AND(ISBLANK(AF10:AF14))), "·", bdRateExtend( M10:M14,R10:R14, AA10:AA14,AF10:AF14))</f>
        <v>·</v>
      </c>
      <c r="AQ10" s="41" t="str">
        <f t="array" ref="AQ10">IF( OR(AND(ISBLANK(M10:M14)),AND(ISBLANK(AA10:AA14)), AND(ISBLANK(S10:S14)),AND(ISBLANK(AG10:AG14))), "·", bdRateExtend( M10:M14,S10:S14, AA10:AA14,AG10:AG14))</f>
        <v>·</v>
      </c>
      <c r="AR10" s="41" t="str">
        <f t="array" ref="AR10">IF( OR(AND(ISBLANK(M10:M14)),AND(ISBLANK(AA10:AA14)), AND(ISBLANK(T10:T14)),AND(ISBLANK(AH10:AH14))), "·", bdRateExtend( M10:M14,T10:T14, AA10:AA14,AH10:AH14))</f>
        <v>·</v>
      </c>
    </row>
    <row r="11" spans="1:44" outlineLevel="1" x14ac:dyDescent="0.25">
      <c r="A11" s="18"/>
      <c r="B11" s="18" t="s">
        <v>164</v>
      </c>
      <c r="C11" s="20" t="s">
        <v>285</v>
      </c>
      <c r="D11" s="18">
        <v>9000000</v>
      </c>
      <c r="E11" s="19">
        <v>10</v>
      </c>
      <c r="F11" s="20">
        <v>300</v>
      </c>
      <c r="G11" s="20">
        <v>30</v>
      </c>
      <c r="H11" s="20">
        <v>8</v>
      </c>
      <c r="J11" s="21" t="str">
        <f t="shared" si="0"/>
        <v>·</v>
      </c>
      <c r="K11" s="22" t="str">
        <f t="shared" si="1"/>
        <v>·</v>
      </c>
      <c r="L11" s="45"/>
      <c r="M11" s="23"/>
      <c r="N11" s="46"/>
      <c r="O11" s="46"/>
      <c r="P11" s="46"/>
      <c r="Q11" s="46"/>
      <c r="R11" s="46"/>
      <c r="S11" s="46"/>
      <c r="T11" s="46"/>
      <c r="U11" s="24"/>
      <c r="V11" s="24"/>
      <c r="X11" s="21" t="str">
        <f t="shared" si="2"/>
        <v>·</v>
      </c>
      <c r="Y11" s="22" t="str">
        <f t="shared" si="3"/>
        <v>·</v>
      </c>
      <c r="Z11" s="45"/>
      <c r="AA11" s="23"/>
      <c r="AB11" s="46"/>
      <c r="AC11" s="46"/>
      <c r="AD11" s="46"/>
      <c r="AE11" s="46"/>
      <c r="AF11" s="46"/>
      <c r="AG11" s="46"/>
      <c r="AH11" s="46"/>
      <c r="AI11" s="24"/>
      <c r="AJ11" s="24"/>
      <c r="AL11" s="25"/>
      <c r="AM11" s="25"/>
      <c r="AN11" s="25"/>
      <c r="AO11" s="25"/>
      <c r="AP11" s="25"/>
      <c r="AQ11" s="25"/>
      <c r="AR11" s="25"/>
    </row>
    <row r="12" spans="1:44" outlineLevel="1" x14ac:dyDescent="0.25">
      <c r="A12" s="34"/>
      <c r="B12" s="34" t="s">
        <v>164</v>
      </c>
      <c r="C12" s="36" t="s">
        <v>286</v>
      </c>
      <c r="D12" s="34">
        <v>9000000</v>
      </c>
      <c r="E12" s="35">
        <v>10</v>
      </c>
      <c r="F12" s="36">
        <v>300</v>
      </c>
      <c r="G12" s="36">
        <v>30</v>
      </c>
      <c r="H12" s="36">
        <v>11</v>
      </c>
      <c r="J12" s="37" t="str">
        <f t="shared" si="0"/>
        <v>·</v>
      </c>
      <c r="K12" s="38" t="str">
        <f t="shared" si="1"/>
        <v>·</v>
      </c>
      <c r="L12" s="47"/>
      <c r="M12" s="39"/>
      <c r="N12" s="48"/>
      <c r="O12" s="48"/>
      <c r="P12" s="48"/>
      <c r="Q12" s="48"/>
      <c r="R12" s="48"/>
      <c r="S12" s="48"/>
      <c r="T12" s="48"/>
      <c r="U12" s="40"/>
      <c r="V12" s="40"/>
      <c r="X12" s="37" t="str">
        <f t="shared" si="2"/>
        <v>·</v>
      </c>
      <c r="Y12" s="38" t="str">
        <f t="shared" si="3"/>
        <v>·</v>
      </c>
      <c r="Z12" s="47"/>
      <c r="AA12" s="39"/>
      <c r="AB12" s="48"/>
      <c r="AC12" s="48"/>
      <c r="AD12" s="48"/>
      <c r="AE12" s="48"/>
      <c r="AF12" s="48"/>
      <c r="AG12" s="48"/>
      <c r="AH12" s="48"/>
      <c r="AI12" s="40"/>
      <c r="AJ12" s="40"/>
      <c r="AL12" s="41"/>
      <c r="AM12" s="41"/>
      <c r="AN12" s="41"/>
      <c r="AO12" s="41"/>
      <c r="AP12" s="41"/>
      <c r="AQ12" s="41"/>
      <c r="AR12" s="41"/>
    </row>
    <row r="13" spans="1:44" outlineLevel="1" x14ac:dyDescent="0.25">
      <c r="A13" s="18"/>
      <c r="B13" s="18" t="s">
        <v>164</v>
      </c>
      <c r="C13" s="20" t="s">
        <v>287</v>
      </c>
      <c r="D13" s="18">
        <v>9000000</v>
      </c>
      <c r="E13" s="19">
        <v>10</v>
      </c>
      <c r="F13" s="20">
        <v>300</v>
      </c>
      <c r="G13" s="20">
        <v>30</v>
      </c>
      <c r="H13" s="20">
        <v>14</v>
      </c>
      <c r="J13" s="21" t="str">
        <f t="shared" si="0"/>
        <v>·</v>
      </c>
      <c r="K13" s="22" t="str">
        <f t="shared" si="1"/>
        <v>·</v>
      </c>
      <c r="L13" s="45"/>
      <c r="M13" s="23"/>
      <c r="N13" s="46"/>
      <c r="O13" s="46"/>
      <c r="P13" s="46"/>
      <c r="Q13" s="46"/>
      <c r="R13" s="46"/>
      <c r="S13" s="46"/>
      <c r="T13" s="46"/>
      <c r="U13" s="24"/>
      <c r="V13" s="24"/>
      <c r="X13" s="21" t="str">
        <f t="shared" si="2"/>
        <v>·</v>
      </c>
      <c r="Y13" s="22" t="str">
        <f t="shared" si="3"/>
        <v>·</v>
      </c>
      <c r="Z13" s="45"/>
      <c r="AA13" s="23"/>
      <c r="AB13" s="46"/>
      <c r="AC13" s="46"/>
      <c r="AD13" s="46"/>
      <c r="AE13" s="46"/>
      <c r="AF13" s="46"/>
      <c r="AG13" s="46"/>
      <c r="AH13" s="46"/>
      <c r="AI13" s="24"/>
      <c r="AJ13" s="24"/>
      <c r="AL13" s="25"/>
      <c r="AM13" s="25"/>
      <c r="AN13" s="25"/>
      <c r="AO13" s="25"/>
      <c r="AP13" s="25"/>
      <c r="AQ13" s="25"/>
      <c r="AR13" s="25"/>
    </row>
    <row r="14" spans="1:44" ht="15.75" outlineLevel="1" thickBot="1" x14ac:dyDescent="0.3">
      <c r="A14" s="26"/>
      <c r="B14" s="26" t="s">
        <v>164</v>
      </c>
      <c r="C14" s="28" t="s">
        <v>288</v>
      </c>
      <c r="D14" s="26">
        <v>9000000</v>
      </c>
      <c r="E14" s="27">
        <v>10</v>
      </c>
      <c r="F14" s="28">
        <v>300</v>
      </c>
      <c r="G14" s="28">
        <v>30</v>
      </c>
      <c r="H14" s="28">
        <v>21</v>
      </c>
      <c r="J14" s="29" t="str">
        <f t="shared" si="0"/>
        <v>·</v>
      </c>
      <c r="K14" s="30" t="str">
        <f t="shared" si="1"/>
        <v>·</v>
      </c>
      <c r="L14" s="59"/>
      <c r="M14" s="31"/>
      <c r="N14" s="60"/>
      <c r="O14" s="60"/>
      <c r="P14" s="60"/>
      <c r="Q14" s="60"/>
      <c r="R14" s="60"/>
      <c r="S14" s="60"/>
      <c r="T14" s="60"/>
      <c r="U14" s="32"/>
      <c r="V14" s="32"/>
      <c r="X14" s="29" t="str">
        <f t="shared" si="2"/>
        <v>·</v>
      </c>
      <c r="Y14" s="30" t="str">
        <f t="shared" si="3"/>
        <v>·</v>
      </c>
      <c r="Z14" s="59"/>
      <c r="AA14" s="31"/>
      <c r="AB14" s="60"/>
      <c r="AC14" s="60"/>
      <c r="AD14" s="60"/>
      <c r="AE14" s="60"/>
      <c r="AF14" s="60"/>
      <c r="AG14" s="60"/>
      <c r="AH14" s="60"/>
      <c r="AI14" s="32"/>
      <c r="AJ14" s="32"/>
      <c r="AL14" s="33"/>
      <c r="AM14" s="33"/>
      <c r="AN14" s="33"/>
      <c r="AO14" s="33"/>
      <c r="AP14" s="33"/>
      <c r="AQ14" s="33"/>
      <c r="AR14" s="33"/>
    </row>
    <row r="15" spans="1:44" x14ac:dyDescent="0.25">
      <c r="A15" s="18" t="s">
        <v>168</v>
      </c>
      <c r="B15" s="18" t="s">
        <v>167</v>
      </c>
      <c r="C15" s="20" t="s">
        <v>284</v>
      </c>
      <c r="D15" s="18">
        <v>11842002</v>
      </c>
      <c r="E15" s="19">
        <v>12</v>
      </c>
      <c r="F15" s="20">
        <v>300</v>
      </c>
      <c r="G15" s="20">
        <v>30</v>
      </c>
      <c r="H15" s="20">
        <v>3</v>
      </c>
      <c r="J15" s="21" t="str">
        <f t="shared" si="0"/>
        <v>·</v>
      </c>
      <c r="K15" s="22" t="str">
        <f t="shared" si="1"/>
        <v>·</v>
      </c>
      <c r="L15" s="45"/>
      <c r="M15" s="23"/>
      <c r="N15" s="46"/>
      <c r="O15" s="46"/>
      <c r="P15" s="46"/>
      <c r="Q15" s="46"/>
      <c r="R15" s="46"/>
      <c r="S15" s="46"/>
      <c r="T15" s="46"/>
      <c r="U15" s="24"/>
      <c r="V15" s="24"/>
      <c r="X15" s="21" t="str">
        <f t="shared" si="2"/>
        <v>·</v>
      </c>
      <c r="Y15" s="22" t="str">
        <f t="shared" si="3"/>
        <v>·</v>
      </c>
      <c r="Z15" s="45"/>
      <c r="AA15" s="23"/>
      <c r="AB15" s="46"/>
      <c r="AC15" s="46"/>
      <c r="AD15" s="46"/>
      <c r="AE15" s="46"/>
      <c r="AF15" s="46"/>
      <c r="AG15" s="46"/>
      <c r="AH15" s="46"/>
      <c r="AI15" s="24"/>
      <c r="AJ15" s="24"/>
      <c r="AL15" s="25" t="str">
        <f t="array" ref="AL15">IF( OR(AND(ISBLANK(M15:M19)),AND(ISBLANK(AA15:AA19)), AND(ISBLANK(N15:N19)),AND(ISBLANK(AB15:AB19))), "·", bdRateExtend( M15:M19,N15:N19, AA15:AA19,AB15:AB19))</f>
        <v>·</v>
      </c>
      <c r="AM15" s="25" t="str">
        <f t="array" ref="AM15">IF( OR(AND(ISBLANK(M15:M19)),AND(ISBLANK(AA15:AA19)), AND(ISBLANK(O15:O19)),AND(ISBLANK(AC15:AC19))), "·", bdRateExtend( M15:M19,O15:O19, AA15:AA19,AC15:AC19))</f>
        <v>·</v>
      </c>
      <c r="AN15" s="25" t="str">
        <f t="array" ref="AN15">IF( OR(AND(ISBLANK(M15:M19)),AND(ISBLANK(AA15:AA19)), AND(ISBLANK(P15:P19)),AND(ISBLANK(AD15:AD19))), "·", bdRateExtend( M15:M19,P15:P19, AA15:AA19,AD15:AD19))</f>
        <v>·</v>
      </c>
      <c r="AO15" s="25" t="str">
        <f t="array" ref="AO15">IF( OR(AND(ISBLANK(M15:M19)),AND(ISBLANK(AA15:AA19)), AND(ISBLANK(Q15:Q19)),AND(ISBLANK(AE15:AE19))), "·", bdRateExtend( M15:M19,Q15:Q19, AA15:AA19,AE15:AE19))</f>
        <v>·</v>
      </c>
      <c r="AP15" s="25" t="str">
        <f t="array" ref="AP15">IF( OR(AND(ISBLANK(M15:M19)),AND(ISBLANK(AA15:AA19)), AND(ISBLANK(R15:R19)),AND(ISBLANK(AF15:AF19))), "·", bdRateExtend( M15:M19,R15:R19, AA15:AA19,AF15:AF19))</f>
        <v>·</v>
      </c>
      <c r="AQ15" s="25" t="str">
        <f t="array" ref="AQ15">IF( OR(AND(ISBLANK(M15:M19)),AND(ISBLANK(AA15:AA19)), AND(ISBLANK(S15:S19)),AND(ISBLANK(AG15:AG19))), "·", bdRateExtend( M15:M19,S15:S19, AA15:AA19,AG15:AG19))</f>
        <v>·</v>
      </c>
      <c r="AR15" s="25" t="str">
        <f t="array" ref="AR15">IF( OR(AND(ISBLANK(M15:M19)),AND(ISBLANK(AA15:AA19)), AND(ISBLANK(T15:T19)),AND(ISBLANK(AH15:AH19))), "·", bdRateExtend( M15:M19,T15:T19, AA15:AA19,AH15:AH19))</f>
        <v>·</v>
      </c>
    </row>
    <row r="16" spans="1:44" outlineLevel="1" x14ac:dyDescent="0.25">
      <c r="A16" s="34"/>
      <c r="B16" s="34" t="s">
        <v>167</v>
      </c>
      <c r="C16" s="36" t="s">
        <v>285</v>
      </c>
      <c r="D16" s="34">
        <v>11842002</v>
      </c>
      <c r="E16" s="35">
        <v>12</v>
      </c>
      <c r="F16" s="36">
        <v>300</v>
      </c>
      <c r="G16" s="36">
        <v>30</v>
      </c>
      <c r="H16" s="36">
        <v>5</v>
      </c>
      <c r="J16" s="37" t="str">
        <f t="shared" si="0"/>
        <v>·</v>
      </c>
      <c r="K16" s="38" t="str">
        <f t="shared" si="1"/>
        <v>·</v>
      </c>
      <c r="L16" s="47"/>
      <c r="M16" s="39"/>
      <c r="N16" s="48"/>
      <c r="O16" s="48"/>
      <c r="P16" s="48"/>
      <c r="Q16" s="48"/>
      <c r="R16" s="48"/>
      <c r="S16" s="48"/>
      <c r="T16" s="48"/>
      <c r="U16" s="40"/>
      <c r="V16" s="40"/>
      <c r="X16" s="37" t="str">
        <f t="shared" si="2"/>
        <v>·</v>
      </c>
      <c r="Y16" s="38" t="str">
        <f t="shared" si="3"/>
        <v>·</v>
      </c>
      <c r="Z16" s="47"/>
      <c r="AA16" s="39"/>
      <c r="AB16" s="48"/>
      <c r="AC16" s="48"/>
      <c r="AD16" s="48"/>
      <c r="AE16" s="48"/>
      <c r="AF16" s="48"/>
      <c r="AG16" s="48"/>
      <c r="AH16" s="48"/>
      <c r="AI16" s="40"/>
      <c r="AJ16" s="40"/>
      <c r="AL16" s="41"/>
      <c r="AM16" s="41"/>
      <c r="AN16" s="41"/>
      <c r="AO16" s="41"/>
      <c r="AP16" s="41"/>
      <c r="AQ16" s="41"/>
      <c r="AR16" s="41"/>
    </row>
    <row r="17" spans="1:44" outlineLevel="1" x14ac:dyDescent="0.25">
      <c r="A17" s="18"/>
      <c r="B17" s="18" t="s">
        <v>167</v>
      </c>
      <c r="C17" s="20" t="s">
        <v>286</v>
      </c>
      <c r="D17" s="18">
        <v>11842002</v>
      </c>
      <c r="E17" s="19">
        <v>12</v>
      </c>
      <c r="F17" s="20">
        <v>300</v>
      </c>
      <c r="G17" s="20">
        <v>30</v>
      </c>
      <c r="H17" s="20">
        <v>10</v>
      </c>
      <c r="J17" s="21" t="str">
        <f t="shared" si="0"/>
        <v>·</v>
      </c>
      <c r="K17" s="22" t="str">
        <f t="shared" si="1"/>
        <v>·</v>
      </c>
      <c r="L17" s="45"/>
      <c r="M17" s="23"/>
      <c r="N17" s="46"/>
      <c r="O17" s="46"/>
      <c r="P17" s="46"/>
      <c r="Q17" s="46"/>
      <c r="R17" s="46"/>
      <c r="S17" s="46"/>
      <c r="T17" s="46"/>
      <c r="U17" s="24"/>
      <c r="V17" s="24"/>
      <c r="X17" s="21" t="str">
        <f t="shared" si="2"/>
        <v>·</v>
      </c>
      <c r="Y17" s="22" t="str">
        <f t="shared" si="3"/>
        <v>·</v>
      </c>
      <c r="Z17" s="45"/>
      <c r="AA17" s="23"/>
      <c r="AB17" s="46"/>
      <c r="AC17" s="46"/>
      <c r="AD17" s="46"/>
      <c r="AE17" s="46"/>
      <c r="AF17" s="46"/>
      <c r="AG17" s="46"/>
      <c r="AH17" s="46"/>
      <c r="AI17" s="24"/>
      <c r="AJ17" s="24"/>
      <c r="AL17" s="25"/>
      <c r="AM17" s="25"/>
      <c r="AN17" s="25"/>
      <c r="AO17" s="25"/>
      <c r="AP17" s="25"/>
      <c r="AQ17" s="25"/>
      <c r="AR17" s="25"/>
    </row>
    <row r="18" spans="1:44" outlineLevel="1" x14ac:dyDescent="0.25">
      <c r="A18" s="34"/>
      <c r="B18" s="34" t="s">
        <v>167</v>
      </c>
      <c r="C18" s="36" t="s">
        <v>287</v>
      </c>
      <c r="D18" s="34">
        <v>11842002</v>
      </c>
      <c r="E18" s="35">
        <v>12</v>
      </c>
      <c r="F18" s="36">
        <v>300</v>
      </c>
      <c r="G18" s="36">
        <v>30</v>
      </c>
      <c r="H18" s="36">
        <v>14</v>
      </c>
      <c r="J18" s="37" t="str">
        <f t="shared" si="0"/>
        <v>·</v>
      </c>
      <c r="K18" s="38" t="str">
        <f t="shared" si="1"/>
        <v>·</v>
      </c>
      <c r="L18" s="47"/>
      <c r="M18" s="39"/>
      <c r="N18" s="48"/>
      <c r="O18" s="48"/>
      <c r="P18" s="48"/>
      <c r="Q18" s="48"/>
      <c r="R18" s="48"/>
      <c r="S18" s="48"/>
      <c r="T18" s="48"/>
      <c r="U18" s="40"/>
      <c r="V18" s="40"/>
      <c r="X18" s="37" t="str">
        <f t="shared" si="2"/>
        <v>·</v>
      </c>
      <c r="Y18" s="38" t="str">
        <f t="shared" si="3"/>
        <v>·</v>
      </c>
      <c r="Z18" s="47"/>
      <c r="AA18" s="39"/>
      <c r="AB18" s="48"/>
      <c r="AC18" s="48"/>
      <c r="AD18" s="48"/>
      <c r="AE18" s="48"/>
      <c r="AF18" s="48"/>
      <c r="AG18" s="48"/>
      <c r="AH18" s="48"/>
      <c r="AI18" s="40"/>
      <c r="AJ18" s="40"/>
      <c r="AL18" s="41"/>
      <c r="AM18" s="41"/>
      <c r="AN18" s="41"/>
      <c r="AO18" s="41"/>
      <c r="AP18" s="41"/>
      <c r="AQ18" s="41"/>
      <c r="AR18" s="41"/>
    </row>
    <row r="19" spans="1:44" ht="15.75" outlineLevel="1" thickBot="1" x14ac:dyDescent="0.3">
      <c r="A19" s="18"/>
      <c r="B19" s="49" t="s">
        <v>167</v>
      </c>
      <c r="C19" s="50" t="s">
        <v>288</v>
      </c>
      <c r="D19" s="49">
        <v>11842002</v>
      </c>
      <c r="E19" s="51">
        <v>12</v>
      </c>
      <c r="F19" s="50">
        <v>300</v>
      </c>
      <c r="G19" s="50">
        <v>30</v>
      </c>
      <c r="H19" s="50">
        <v>21</v>
      </c>
      <c r="J19" s="52" t="str">
        <f t="shared" si="0"/>
        <v>·</v>
      </c>
      <c r="K19" s="53" t="str">
        <f t="shared" si="1"/>
        <v>·</v>
      </c>
      <c r="L19" s="54"/>
      <c r="M19" s="55"/>
      <c r="N19" s="56"/>
      <c r="O19" s="56"/>
      <c r="P19" s="56"/>
      <c r="Q19" s="56"/>
      <c r="R19" s="56"/>
      <c r="S19" s="56"/>
      <c r="T19" s="56"/>
      <c r="U19" s="57"/>
      <c r="V19" s="57"/>
      <c r="X19" s="52" t="str">
        <f t="shared" si="2"/>
        <v>·</v>
      </c>
      <c r="Y19" s="53" t="str">
        <f t="shared" si="3"/>
        <v>·</v>
      </c>
      <c r="Z19" s="54"/>
      <c r="AA19" s="55"/>
      <c r="AB19" s="56"/>
      <c r="AC19" s="56"/>
      <c r="AD19" s="56"/>
      <c r="AE19" s="56"/>
      <c r="AF19" s="56"/>
      <c r="AG19" s="56"/>
      <c r="AH19" s="56"/>
      <c r="AI19" s="57"/>
      <c r="AJ19" s="57"/>
      <c r="AL19" s="58"/>
      <c r="AM19" s="58"/>
      <c r="AN19" s="58"/>
      <c r="AO19" s="58"/>
      <c r="AP19" s="58"/>
      <c r="AQ19" s="58"/>
      <c r="AR19" s="58"/>
    </row>
    <row r="20" spans="1:44" x14ac:dyDescent="0.25">
      <c r="A20" s="34"/>
      <c r="B20" s="34" t="s">
        <v>171</v>
      </c>
      <c r="C20" s="36" t="s">
        <v>284</v>
      </c>
      <c r="D20" s="34">
        <v>11812090</v>
      </c>
      <c r="E20" s="35">
        <v>12</v>
      </c>
      <c r="F20" s="36">
        <v>300</v>
      </c>
      <c r="G20" s="36">
        <v>30</v>
      </c>
      <c r="H20" s="36">
        <v>3</v>
      </c>
      <c r="J20" s="37" t="str">
        <f t="shared" si="0"/>
        <v>·</v>
      </c>
      <c r="K20" s="38" t="str">
        <f t="shared" si="1"/>
        <v>·</v>
      </c>
      <c r="L20" s="47"/>
      <c r="M20" s="39"/>
      <c r="N20" s="48"/>
      <c r="O20" s="48"/>
      <c r="P20" s="48"/>
      <c r="Q20" s="48"/>
      <c r="R20" s="48"/>
      <c r="S20" s="48"/>
      <c r="T20" s="48"/>
      <c r="U20" s="40"/>
      <c r="V20" s="40"/>
      <c r="X20" s="37" t="str">
        <f t="shared" si="2"/>
        <v>·</v>
      </c>
      <c r="Y20" s="38" t="str">
        <f t="shared" si="3"/>
        <v>·</v>
      </c>
      <c r="Z20" s="47"/>
      <c r="AA20" s="39"/>
      <c r="AB20" s="48"/>
      <c r="AC20" s="48"/>
      <c r="AD20" s="48"/>
      <c r="AE20" s="48"/>
      <c r="AF20" s="48"/>
      <c r="AG20" s="48"/>
      <c r="AH20" s="48"/>
      <c r="AI20" s="40"/>
      <c r="AJ20" s="40"/>
      <c r="AL20" s="41" t="str">
        <f t="array" ref="AL20">IF( OR(AND(ISBLANK(M20:M24)),AND(ISBLANK(AA20:AA24)), AND(ISBLANK(N20:N24)),AND(ISBLANK(AB20:AB24))), "·", bdRateExtend( M20:M24,N20:N24, AA20:AA24,AB20:AB24))</f>
        <v>·</v>
      </c>
      <c r="AM20" s="41" t="str">
        <f t="array" ref="AM20">IF( OR(AND(ISBLANK(M20:M24)),AND(ISBLANK(AA20:AA24)), AND(ISBLANK(O20:O24)),AND(ISBLANK(AC20:AC24))), "·", bdRateExtend( M20:M24,O20:O24, AA20:AA24,AC20:AC24))</f>
        <v>·</v>
      </c>
      <c r="AN20" s="41" t="str">
        <f t="array" ref="AN20">IF( OR(AND(ISBLANK(M20:M24)),AND(ISBLANK(AA20:AA24)), AND(ISBLANK(P20:P24)),AND(ISBLANK(AD20:AD24))), "·", bdRateExtend( M20:M24,P20:P24, AA20:AA24,AD20:AD24))</f>
        <v>·</v>
      </c>
      <c r="AO20" s="41" t="str">
        <f t="array" ref="AO20">IF( OR(AND(ISBLANK(M20:M24)),AND(ISBLANK(AA20:AA24)), AND(ISBLANK(Q20:Q24)),AND(ISBLANK(AE20:AE24))), "·", bdRateExtend( M20:M24,Q20:Q24, AA20:AA24,AE20:AE24))</f>
        <v>·</v>
      </c>
      <c r="AP20" s="41" t="str">
        <f t="array" ref="AP20">IF( OR(AND(ISBLANK(M20:M24)),AND(ISBLANK(AA20:AA24)), AND(ISBLANK(R20:R24)),AND(ISBLANK(AF20:AF24))), "·", bdRateExtend( M20:M24,R20:R24, AA20:AA24,AF20:AF24))</f>
        <v>·</v>
      </c>
      <c r="AQ20" s="41" t="str">
        <f t="array" ref="AQ20">IF( OR(AND(ISBLANK(M20:M24)),AND(ISBLANK(AA20:AA24)), AND(ISBLANK(S20:S24)),AND(ISBLANK(AG20:AG24))), "·", bdRateExtend( M20:M24,S20:S24, AA20:AA24,AG20:AG24))</f>
        <v>·</v>
      </c>
      <c r="AR20" s="41" t="str">
        <f t="array" ref="AR20">IF( OR(AND(ISBLANK(M20:M24)),AND(ISBLANK(AA20:AA24)), AND(ISBLANK(T20:T24)),AND(ISBLANK(AH20:AH24))), "·", bdRateExtend( M20:M24,T20:T24, AA20:AA24,AH20:AH24))</f>
        <v>·</v>
      </c>
    </row>
    <row r="21" spans="1:44" outlineLevel="1" x14ac:dyDescent="0.25">
      <c r="A21" s="18"/>
      <c r="B21" s="18" t="s">
        <v>171</v>
      </c>
      <c r="C21" s="20" t="s">
        <v>285</v>
      </c>
      <c r="D21" s="18">
        <v>11812090</v>
      </c>
      <c r="E21" s="19">
        <v>12</v>
      </c>
      <c r="F21" s="20">
        <v>300</v>
      </c>
      <c r="G21" s="20">
        <v>30</v>
      </c>
      <c r="H21" s="20">
        <v>5</v>
      </c>
      <c r="J21" s="21" t="str">
        <f t="shared" si="0"/>
        <v>·</v>
      </c>
      <c r="K21" s="22" t="str">
        <f t="shared" si="1"/>
        <v>·</v>
      </c>
      <c r="L21" s="45"/>
      <c r="M21" s="23"/>
      <c r="N21" s="46"/>
      <c r="O21" s="46"/>
      <c r="P21" s="46"/>
      <c r="Q21" s="46"/>
      <c r="R21" s="46"/>
      <c r="S21" s="46"/>
      <c r="T21" s="46"/>
      <c r="U21" s="24"/>
      <c r="V21" s="24"/>
      <c r="X21" s="21" t="str">
        <f t="shared" si="2"/>
        <v>·</v>
      </c>
      <c r="Y21" s="22" t="str">
        <f t="shared" si="3"/>
        <v>·</v>
      </c>
      <c r="Z21" s="45"/>
      <c r="AA21" s="23"/>
      <c r="AB21" s="46"/>
      <c r="AC21" s="46"/>
      <c r="AD21" s="46"/>
      <c r="AE21" s="46"/>
      <c r="AF21" s="46"/>
      <c r="AG21" s="46"/>
      <c r="AH21" s="46"/>
      <c r="AI21" s="24"/>
      <c r="AJ21" s="24"/>
      <c r="AL21" s="25"/>
      <c r="AM21" s="25"/>
      <c r="AN21" s="25"/>
      <c r="AO21" s="25"/>
      <c r="AP21" s="25"/>
      <c r="AQ21" s="25"/>
      <c r="AR21" s="25"/>
    </row>
    <row r="22" spans="1:44" outlineLevel="1" x14ac:dyDescent="0.25">
      <c r="A22" s="34"/>
      <c r="B22" s="34" t="s">
        <v>171</v>
      </c>
      <c r="C22" s="36" t="s">
        <v>286</v>
      </c>
      <c r="D22" s="34">
        <v>11812090</v>
      </c>
      <c r="E22" s="35">
        <v>12</v>
      </c>
      <c r="F22" s="36">
        <v>300</v>
      </c>
      <c r="G22" s="36">
        <v>30</v>
      </c>
      <c r="H22" s="36">
        <v>10</v>
      </c>
      <c r="J22" s="37" t="str">
        <f t="shared" si="0"/>
        <v>·</v>
      </c>
      <c r="K22" s="38" t="str">
        <f t="shared" si="1"/>
        <v>·</v>
      </c>
      <c r="L22" s="47"/>
      <c r="M22" s="39"/>
      <c r="N22" s="48"/>
      <c r="O22" s="48"/>
      <c r="P22" s="48"/>
      <c r="Q22" s="48"/>
      <c r="R22" s="48"/>
      <c r="S22" s="48"/>
      <c r="T22" s="48"/>
      <c r="U22" s="40"/>
      <c r="V22" s="40"/>
      <c r="X22" s="37" t="str">
        <f t="shared" si="2"/>
        <v>·</v>
      </c>
      <c r="Y22" s="38" t="str">
        <f t="shared" si="3"/>
        <v>·</v>
      </c>
      <c r="Z22" s="47"/>
      <c r="AA22" s="39"/>
      <c r="AB22" s="48"/>
      <c r="AC22" s="48"/>
      <c r="AD22" s="48"/>
      <c r="AE22" s="48"/>
      <c r="AF22" s="48"/>
      <c r="AG22" s="48"/>
      <c r="AH22" s="48"/>
      <c r="AI22" s="40"/>
      <c r="AJ22" s="40"/>
      <c r="AL22" s="41"/>
      <c r="AM22" s="41"/>
      <c r="AN22" s="41"/>
      <c r="AO22" s="41"/>
      <c r="AP22" s="41"/>
      <c r="AQ22" s="41"/>
      <c r="AR22" s="41"/>
    </row>
    <row r="23" spans="1:44" outlineLevel="1" x14ac:dyDescent="0.25">
      <c r="A23" s="18"/>
      <c r="B23" s="18" t="s">
        <v>171</v>
      </c>
      <c r="C23" s="20" t="s">
        <v>287</v>
      </c>
      <c r="D23" s="18">
        <v>11812090</v>
      </c>
      <c r="E23" s="19">
        <v>12</v>
      </c>
      <c r="F23" s="20">
        <v>300</v>
      </c>
      <c r="G23" s="20">
        <v>30</v>
      </c>
      <c r="H23" s="20">
        <v>14</v>
      </c>
      <c r="J23" s="21" t="str">
        <f t="shared" si="0"/>
        <v>·</v>
      </c>
      <c r="K23" s="22" t="str">
        <f t="shared" si="1"/>
        <v>·</v>
      </c>
      <c r="L23" s="45"/>
      <c r="M23" s="23"/>
      <c r="N23" s="46"/>
      <c r="O23" s="46"/>
      <c r="P23" s="46"/>
      <c r="Q23" s="46"/>
      <c r="R23" s="46"/>
      <c r="S23" s="46"/>
      <c r="T23" s="46"/>
      <c r="U23" s="24"/>
      <c r="V23" s="24"/>
      <c r="X23" s="21" t="str">
        <f t="shared" si="2"/>
        <v>·</v>
      </c>
      <c r="Y23" s="22" t="str">
        <f t="shared" si="3"/>
        <v>·</v>
      </c>
      <c r="Z23" s="45"/>
      <c r="AA23" s="23"/>
      <c r="AB23" s="46"/>
      <c r="AC23" s="46"/>
      <c r="AD23" s="46"/>
      <c r="AE23" s="46"/>
      <c r="AF23" s="46"/>
      <c r="AG23" s="46"/>
      <c r="AH23" s="46"/>
      <c r="AI23" s="24"/>
      <c r="AJ23" s="24"/>
      <c r="AL23" s="25"/>
      <c r="AM23" s="25"/>
      <c r="AN23" s="25"/>
      <c r="AO23" s="25"/>
      <c r="AP23" s="25"/>
      <c r="AQ23" s="25"/>
      <c r="AR23" s="25"/>
    </row>
    <row r="24" spans="1:44" ht="15.75" outlineLevel="1" thickBot="1" x14ac:dyDescent="0.3">
      <c r="A24" s="26"/>
      <c r="B24" s="26" t="s">
        <v>171</v>
      </c>
      <c r="C24" s="28" t="s">
        <v>288</v>
      </c>
      <c r="D24" s="26">
        <v>11812090</v>
      </c>
      <c r="E24" s="27">
        <v>12</v>
      </c>
      <c r="F24" s="28">
        <v>300</v>
      </c>
      <c r="G24" s="28">
        <v>30</v>
      </c>
      <c r="H24" s="28">
        <v>21</v>
      </c>
      <c r="J24" s="29" t="str">
        <f t="shared" si="0"/>
        <v>·</v>
      </c>
      <c r="K24" s="30" t="str">
        <f t="shared" si="1"/>
        <v>·</v>
      </c>
      <c r="L24" s="59"/>
      <c r="M24" s="31"/>
      <c r="N24" s="60"/>
      <c r="O24" s="60"/>
      <c r="P24" s="60"/>
      <c r="Q24" s="60"/>
      <c r="R24" s="60"/>
      <c r="S24" s="60"/>
      <c r="T24" s="60"/>
      <c r="U24" s="32"/>
      <c r="V24" s="32"/>
      <c r="X24" s="29" t="str">
        <f t="shared" si="2"/>
        <v>·</v>
      </c>
      <c r="Y24" s="30" t="str">
        <f t="shared" si="3"/>
        <v>·</v>
      </c>
      <c r="Z24" s="59"/>
      <c r="AA24" s="31"/>
      <c r="AB24" s="60"/>
      <c r="AC24" s="60"/>
      <c r="AD24" s="60"/>
      <c r="AE24" s="60"/>
      <c r="AF24" s="60"/>
      <c r="AG24" s="60"/>
      <c r="AH24" s="60"/>
      <c r="AI24" s="32"/>
      <c r="AJ24" s="32"/>
      <c r="AL24" s="33"/>
      <c r="AM24" s="33"/>
      <c r="AN24" s="33"/>
      <c r="AO24" s="33"/>
      <c r="AP24" s="33"/>
      <c r="AQ24" s="33"/>
      <c r="AR24" s="33"/>
    </row>
    <row r="25" spans="1:44" x14ac:dyDescent="0.25">
      <c r="A25" s="18" t="s">
        <v>175</v>
      </c>
      <c r="B25" s="18" t="s">
        <v>174</v>
      </c>
      <c r="C25" s="20" t="s">
        <v>284</v>
      </c>
      <c r="D25" s="18">
        <v>12000000</v>
      </c>
      <c r="E25" s="19">
        <v>12</v>
      </c>
      <c r="F25" s="20">
        <v>300</v>
      </c>
      <c r="G25" s="20">
        <v>30</v>
      </c>
      <c r="H25" s="20">
        <v>4</v>
      </c>
      <c r="J25" s="21" t="str">
        <f t="shared" si="0"/>
        <v>·</v>
      </c>
      <c r="K25" s="22" t="str">
        <f t="shared" si="1"/>
        <v>·</v>
      </c>
      <c r="L25" s="45"/>
      <c r="M25" s="23"/>
      <c r="N25" s="46"/>
      <c r="O25" s="46"/>
      <c r="P25" s="46"/>
      <c r="Q25" s="46"/>
      <c r="R25" s="46"/>
      <c r="S25" s="46"/>
      <c r="T25" s="46"/>
      <c r="U25" s="24"/>
      <c r="V25" s="24"/>
      <c r="X25" s="21" t="str">
        <f t="shared" si="2"/>
        <v>·</v>
      </c>
      <c r="Y25" s="22" t="str">
        <f t="shared" si="3"/>
        <v>·</v>
      </c>
      <c r="Z25" s="45"/>
      <c r="AA25" s="23"/>
      <c r="AB25" s="46"/>
      <c r="AC25" s="46"/>
      <c r="AD25" s="46"/>
      <c r="AE25" s="46"/>
      <c r="AF25" s="46"/>
      <c r="AG25" s="46"/>
      <c r="AH25" s="46"/>
      <c r="AI25" s="24"/>
      <c r="AJ25" s="24"/>
      <c r="AL25" s="25" t="str">
        <f t="array" ref="AL25">IF( OR(AND(ISBLANK(M25:M29)),AND(ISBLANK(AA25:AA29)), AND(ISBLANK(N25:N29)),AND(ISBLANK(AB25:AB29))), "·", bdRateExtend( M25:M29,N25:N29, AA25:AA29,AB25:AB29))</f>
        <v>·</v>
      </c>
      <c r="AM25" s="25" t="str">
        <f t="array" ref="AM25">IF( OR(AND(ISBLANK(M25:M29)),AND(ISBLANK(AA25:AA29)), AND(ISBLANK(O25:O29)),AND(ISBLANK(AC25:AC29))), "·", bdRateExtend( M25:M29,O25:O29, AA25:AA29,AC25:AC29))</f>
        <v>·</v>
      </c>
      <c r="AN25" s="25" t="str">
        <f t="array" ref="AN25">IF( OR(AND(ISBLANK(M25:M29)),AND(ISBLANK(AA25:AA29)), AND(ISBLANK(P25:P29)),AND(ISBLANK(AD25:AD29))), "·", bdRateExtend( M25:M29,P25:P29, AA25:AA29,AD25:AD29))</f>
        <v>·</v>
      </c>
      <c r="AO25" s="25" t="str">
        <f t="array" ref="AO25">IF( OR(AND(ISBLANK(M25:M29)),AND(ISBLANK(AA25:AA29)), AND(ISBLANK(Q25:Q29)),AND(ISBLANK(AE25:AE29))), "·", bdRateExtend( M25:M29,Q25:Q29, AA25:AA29,AE25:AE29))</f>
        <v>·</v>
      </c>
      <c r="AP25" s="25" t="str">
        <f t="array" ref="AP25">IF( OR(AND(ISBLANK(M25:M29)),AND(ISBLANK(AA25:AA29)), AND(ISBLANK(R25:R29)),AND(ISBLANK(AF25:AF29))), "·", bdRateExtend( M25:M29,R25:R29, AA25:AA29,AF25:AF29))</f>
        <v>·</v>
      </c>
      <c r="AQ25" s="25" t="str">
        <f t="array" ref="AQ25">IF( OR(AND(ISBLANK(M25:M29)),AND(ISBLANK(AA25:AA29)), AND(ISBLANK(S25:S29)),AND(ISBLANK(AG25:AG29))), "·", bdRateExtend( M25:M29,S25:S29, AA25:AA29,AG25:AG29))</f>
        <v>·</v>
      </c>
      <c r="AR25" s="25" t="str">
        <f t="array" ref="AR25">IF( OR(AND(ISBLANK(M25:M29)),AND(ISBLANK(AA25:AA29)), AND(ISBLANK(T25:T29)),AND(ISBLANK(AH25:AH29))), "·", bdRateExtend( M25:M29,T25:T29, AA25:AA29,AH25:AH29))</f>
        <v>·</v>
      </c>
    </row>
    <row r="26" spans="1:44" outlineLevel="1" x14ac:dyDescent="0.25">
      <c r="A26" s="34"/>
      <c r="B26" s="34" t="s">
        <v>174</v>
      </c>
      <c r="C26" s="36" t="s">
        <v>285</v>
      </c>
      <c r="D26" s="34">
        <v>12000000</v>
      </c>
      <c r="E26" s="35">
        <v>12</v>
      </c>
      <c r="F26" s="36">
        <v>300</v>
      </c>
      <c r="G26" s="36">
        <v>30</v>
      </c>
      <c r="H26" s="36">
        <v>8</v>
      </c>
      <c r="J26" s="37" t="str">
        <f t="shared" si="0"/>
        <v>·</v>
      </c>
      <c r="K26" s="38" t="str">
        <f t="shared" si="1"/>
        <v>·</v>
      </c>
      <c r="L26" s="47"/>
      <c r="M26" s="39"/>
      <c r="N26" s="48"/>
      <c r="O26" s="48"/>
      <c r="P26" s="48"/>
      <c r="Q26" s="48"/>
      <c r="R26" s="48"/>
      <c r="S26" s="48"/>
      <c r="T26" s="48"/>
      <c r="U26" s="40"/>
      <c r="V26" s="40"/>
      <c r="X26" s="37" t="str">
        <f t="shared" si="2"/>
        <v>·</v>
      </c>
      <c r="Y26" s="38" t="str">
        <f t="shared" si="3"/>
        <v>·</v>
      </c>
      <c r="Z26" s="47"/>
      <c r="AA26" s="39"/>
      <c r="AB26" s="48"/>
      <c r="AC26" s="48"/>
      <c r="AD26" s="48"/>
      <c r="AE26" s="48"/>
      <c r="AF26" s="48"/>
      <c r="AG26" s="48"/>
      <c r="AH26" s="48"/>
      <c r="AI26" s="40"/>
      <c r="AJ26" s="40"/>
      <c r="AL26" s="41"/>
      <c r="AM26" s="41"/>
      <c r="AN26" s="41"/>
      <c r="AO26" s="41"/>
      <c r="AP26" s="41"/>
      <c r="AQ26" s="41"/>
      <c r="AR26" s="41"/>
    </row>
    <row r="27" spans="1:44" outlineLevel="1" x14ac:dyDescent="0.25">
      <c r="A27" s="18"/>
      <c r="B27" s="18" t="s">
        <v>174</v>
      </c>
      <c r="C27" s="20" t="s">
        <v>286</v>
      </c>
      <c r="D27" s="18">
        <v>12000000</v>
      </c>
      <c r="E27" s="19">
        <v>12</v>
      </c>
      <c r="F27" s="20">
        <v>300</v>
      </c>
      <c r="G27" s="20">
        <v>30</v>
      </c>
      <c r="H27" s="20">
        <v>12</v>
      </c>
      <c r="J27" s="21" t="str">
        <f t="shared" si="0"/>
        <v>·</v>
      </c>
      <c r="K27" s="22" t="str">
        <f t="shared" si="1"/>
        <v>·</v>
      </c>
      <c r="L27" s="45"/>
      <c r="M27" s="23"/>
      <c r="N27" s="46"/>
      <c r="O27" s="46"/>
      <c r="P27" s="46"/>
      <c r="Q27" s="46"/>
      <c r="R27" s="46"/>
      <c r="S27" s="46"/>
      <c r="T27" s="46"/>
      <c r="U27" s="24"/>
      <c r="V27" s="24"/>
      <c r="X27" s="21" t="str">
        <f t="shared" si="2"/>
        <v>·</v>
      </c>
      <c r="Y27" s="22" t="str">
        <f t="shared" si="3"/>
        <v>·</v>
      </c>
      <c r="Z27" s="45"/>
      <c r="AA27" s="23"/>
      <c r="AB27" s="46"/>
      <c r="AC27" s="46"/>
      <c r="AD27" s="46"/>
      <c r="AE27" s="46"/>
      <c r="AF27" s="46"/>
      <c r="AG27" s="46"/>
      <c r="AH27" s="46"/>
      <c r="AI27" s="24"/>
      <c r="AJ27" s="24"/>
      <c r="AL27" s="25"/>
      <c r="AM27" s="25"/>
      <c r="AN27" s="25"/>
      <c r="AO27" s="25"/>
      <c r="AP27" s="25"/>
      <c r="AQ27" s="25"/>
      <c r="AR27" s="25"/>
    </row>
    <row r="28" spans="1:44" outlineLevel="1" x14ac:dyDescent="0.25">
      <c r="A28" s="34"/>
      <c r="B28" s="34" t="s">
        <v>174</v>
      </c>
      <c r="C28" s="36" t="s">
        <v>287</v>
      </c>
      <c r="D28" s="34">
        <v>12000000</v>
      </c>
      <c r="E28" s="35">
        <v>12</v>
      </c>
      <c r="F28" s="36">
        <v>300</v>
      </c>
      <c r="G28" s="36">
        <v>30</v>
      </c>
      <c r="H28" s="36">
        <v>17</v>
      </c>
      <c r="J28" s="37" t="str">
        <f t="shared" si="0"/>
        <v>·</v>
      </c>
      <c r="K28" s="38" t="str">
        <f t="shared" si="1"/>
        <v>·</v>
      </c>
      <c r="L28" s="47"/>
      <c r="M28" s="39"/>
      <c r="N28" s="48"/>
      <c r="O28" s="48"/>
      <c r="P28" s="48"/>
      <c r="Q28" s="48"/>
      <c r="R28" s="48"/>
      <c r="S28" s="48"/>
      <c r="T28" s="48"/>
      <c r="U28" s="40"/>
      <c r="V28" s="40"/>
      <c r="X28" s="37" t="str">
        <f t="shared" si="2"/>
        <v>·</v>
      </c>
      <c r="Y28" s="38" t="str">
        <f t="shared" si="3"/>
        <v>·</v>
      </c>
      <c r="Z28" s="47"/>
      <c r="AA28" s="39"/>
      <c r="AB28" s="48"/>
      <c r="AC28" s="48"/>
      <c r="AD28" s="48"/>
      <c r="AE28" s="48"/>
      <c r="AF28" s="48"/>
      <c r="AG28" s="48"/>
      <c r="AH28" s="48"/>
      <c r="AI28" s="40"/>
      <c r="AJ28" s="40"/>
      <c r="AL28" s="41"/>
      <c r="AM28" s="41"/>
      <c r="AN28" s="41"/>
      <c r="AO28" s="41"/>
      <c r="AP28" s="41"/>
      <c r="AQ28" s="41"/>
      <c r="AR28" s="41"/>
    </row>
    <row r="29" spans="1:44" ht="15.75" outlineLevel="1" thickBot="1" x14ac:dyDescent="0.3">
      <c r="A29" s="18"/>
      <c r="B29" s="49" t="s">
        <v>174</v>
      </c>
      <c r="C29" s="50" t="s">
        <v>288</v>
      </c>
      <c r="D29" s="49">
        <v>12000000</v>
      </c>
      <c r="E29" s="51">
        <v>12</v>
      </c>
      <c r="F29" s="50">
        <v>300</v>
      </c>
      <c r="G29" s="50">
        <v>30</v>
      </c>
      <c r="H29" s="50">
        <v>25</v>
      </c>
      <c r="J29" s="52" t="str">
        <f t="shared" si="0"/>
        <v>·</v>
      </c>
      <c r="K29" s="53" t="str">
        <f t="shared" si="1"/>
        <v>·</v>
      </c>
      <c r="L29" s="54"/>
      <c r="M29" s="55"/>
      <c r="N29" s="56"/>
      <c r="O29" s="56"/>
      <c r="P29" s="56"/>
      <c r="Q29" s="56"/>
      <c r="R29" s="56"/>
      <c r="S29" s="56"/>
      <c r="T29" s="56"/>
      <c r="U29" s="57"/>
      <c r="V29" s="57"/>
      <c r="X29" s="52" t="str">
        <f t="shared" si="2"/>
        <v>·</v>
      </c>
      <c r="Y29" s="53" t="str">
        <f t="shared" si="3"/>
        <v>·</v>
      </c>
      <c r="Z29" s="54"/>
      <c r="AA29" s="55"/>
      <c r="AB29" s="56"/>
      <c r="AC29" s="56"/>
      <c r="AD29" s="56"/>
      <c r="AE29" s="56"/>
      <c r="AF29" s="56"/>
      <c r="AG29" s="56"/>
      <c r="AH29" s="56"/>
      <c r="AI29" s="57"/>
      <c r="AJ29" s="57"/>
      <c r="AL29" s="58"/>
      <c r="AM29" s="58"/>
      <c r="AN29" s="58"/>
      <c r="AO29" s="58"/>
      <c r="AP29" s="58"/>
      <c r="AQ29" s="58"/>
      <c r="AR29" s="58"/>
    </row>
    <row r="30" spans="1:44" x14ac:dyDescent="0.25">
      <c r="A30" s="34"/>
      <c r="B30" s="34" t="s">
        <v>178</v>
      </c>
      <c r="C30" s="36" t="s">
        <v>284</v>
      </c>
      <c r="D30" s="34">
        <v>5997654</v>
      </c>
      <c r="E30" s="35">
        <v>12</v>
      </c>
      <c r="F30" s="36">
        <v>150</v>
      </c>
      <c r="G30" s="36">
        <v>30</v>
      </c>
      <c r="H30" s="36">
        <v>4</v>
      </c>
      <c r="J30" s="37" t="str">
        <f t="shared" si="0"/>
        <v>·</v>
      </c>
      <c r="K30" s="38" t="str">
        <f t="shared" si="1"/>
        <v>·</v>
      </c>
      <c r="L30" s="47"/>
      <c r="M30" s="39"/>
      <c r="N30" s="48"/>
      <c r="O30" s="48"/>
      <c r="P30" s="48"/>
      <c r="Q30" s="48"/>
      <c r="R30" s="48"/>
      <c r="S30" s="48"/>
      <c r="T30" s="48"/>
      <c r="U30" s="40"/>
      <c r="V30" s="40"/>
      <c r="X30" s="37" t="str">
        <f t="shared" si="2"/>
        <v>·</v>
      </c>
      <c r="Y30" s="38" t="str">
        <f t="shared" si="3"/>
        <v>·</v>
      </c>
      <c r="Z30" s="47"/>
      <c r="AA30" s="39"/>
      <c r="AB30" s="48"/>
      <c r="AC30" s="48"/>
      <c r="AD30" s="48"/>
      <c r="AE30" s="48"/>
      <c r="AF30" s="48"/>
      <c r="AG30" s="48"/>
      <c r="AH30" s="48"/>
      <c r="AI30" s="40"/>
      <c r="AJ30" s="40"/>
      <c r="AL30" s="41" t="str">
        <f t="array" ref="AL30">IF( OR(AND(ISBLANK(M30:M34)),AND(ISBLANK(AA30:AA34)), AND(ISBLANK(N30:N34)),AND(ISBLANK(AB30:AB34))), "·", bdRateExtend( M30:M34,N30:N34, AA30:AA34,AB30:AB34))</f>
        <v>·</v>
      </c>
      <c r="AM30" s="41" t="str">
        <f t="array" ref="AM30">IF( OR(AND(ISBLANK(M30:M34)),AND(ISBLANK(AA30:AA34)), AND(ISBLANK(O30:O34)),AND(ISBLANK(AC30:AC34))), "·", bdRateExtend( M30:M34,O30:O34, AA30:AA34,AC30:AC34))</f>
        <v>·</v>
      </c>
      <c r="AN30" s="41" t="str">
        <f t="array" ref="AN30">IF( OR(AND(ISBLANK(M30:M34)),AND(ISBLANK(AA30:AA34)), AND(ISBLANK(P30:P34)),AND(ISBLANK(AD30:AD34))), "·", bdRateExtend( M30:M34,P30:P34, AA30:AA34,AD30:AD34))</f>
        <v>·</v>
      </c>
      <c r="AO30" s="41" t="str">
        <f t="array" ref="AO30">IF( OR(AND(ISBLANK(M30:M34)),AND(ISBLANK(AA30:AA34)), AND(ISBLANK(Q30:Q34)),AND(ISBLANK(AE30:AE34))), "·", bdRateExtend( M30:M34,Q30:Q34, AA30:AA34,AE30:AE34))</f>
        <v>·</v>
      </c>
      <c r="AP30" s="41" t="str">
        <f t="array" ref="AP30">IF( OR(AND(ISBLANK(M30:M34)),AND(ISBLANK(AA30:AA34)), AND(ISBLANK(R30:R34)),AND(ISBLANK(AF30:AF34))), "·", bdRateExtend( M30:M34,R30:R34, AA30:AA34,AF30:AF34))</f>
        <v>·</v>
      </c>
      <c r="AQ30" s="41" t="str">
        <f t="array" ref="AQ30">IF( OR(AND(ISBLANK(M30:M34)),AND(ISBLANK(AA30:AA34)), AND(ISBLANK(S30:S34)),AND(ISBLANK(AG30:AG34))), "·", bdRateExtend( M30:M34,S30:S34, AA30:AA34,AG30:AG34))</f>
        <v>·</v>
      </c>
      <c r="AR30" s="41" t="str">
        <f t="array" ref="AR30">IF( OR(AND(ISBLANK(M30:M34)),AND(ISBLANK(AA30:AA34)), AND(ISBLANK(T30:T34)),AND(ISBLANK(AH30:AH34))), "·", bdRateExtend( M30:M34,T30:T34, AA30:AA34,AH30:AH34))</f>
        <v>·</v>
      </c>
    </row>
    <row r="31" spans="1:44" outlineLevel="1" x14ac:dyDescent="0.25">
      <c r="A31" s="18"/>
      <c r="B31" s="18" t="s">
        <v>178</v>
      </c>
      <c r="C31" s="20" t="s">
        <v>285</v>
      </c>
      <c r="D31" s="18">
        <v>5997654</v>
      </c>
      <c r="E31" s="19">
        <v>12</v>
      </c>
      <c r="F31" s="20">
        <v>150</v>
      </c>
      <c r="G31" s="20">
        <v>30</v>
      </c>
      <c r="H31" s="20">
        <v>8</v>
      </c>
      <c r="J31" s="21" t="str">
        <f t="shared" si="0"/>
        <v>·</v>
      </c>
      <c r="K31" s="22" t="str">
        <f t="shared" si="1"/>
        <v>·</v>
      </c>
      <c r="L31" s="45"/>
      <c r="M31" s="23"/>
      <c r="N31" s="46"/>
      <c r="O31" s="46"/>
      <c r="P31" s="46"/>
      <c r="Q31" s="46"/>
      <c r="R31" s="46"/>
      <c r="S31" s="46"/>
      <c r="T31" s="46"/>
      <c r="U31" s="24"/>
      <c r="V31" s="24"/>
      <c r="X31" s="21" t="str">
        <f t="shared" si="2"/>
        <v>·</v>
      </c>
      <c r="Y31" s="22" t="str">
        <f t="shared" si="3"/>
        <v>·</v>
      </c>
      <c r="Z31" s="45"/>
      <c r="AA31" s="23"/>
      <c r="AB31" s="46"/>
      <c r="AC31" s="46"/>
      <c r="AD31" s="46"/>
      <c r="AE31" s="46"/>
      <c r="AF31" s="46"/>
      <c r="AG31" s="46"/>
      <c r="AH31" s="46"/>
      <c r="AI31" s="24"/>
      <c r="AJ31" s="24"/>
      <c r="AL31" s="25"/>
      <c r="AM31" s="25"/>
      <c r="AN31" s="25"/>
      <c r="AO31" s="25"/>
      <c r="AP31" s="25"/>
      <c r="AQ31" s="25"/>
      <c r="AR31" s="25"/>
    </row>
    <row r="32" spans="1:44" outlineLevel="1" x14ac:dyDescent="0.25">
      <c r="A32" s="34"/>
      <c r="B32" s="34" t="s">
        <v>178</v>
      </c>
      <c r="C32" s="36" t="s">
        <v>286</v>
      </c>
      <c r="D32" s="34">
        <v>5997654</v>
      </c>
      <c r="E32" s="35">
        <v>12</v>
      </c>
      <c r="F32" s="36">
        <v>150</v>
      </c>
      <c r="G32" s="36">
        <v>30</v>
      </c>
      <c r="H32" s="36">
        <v>12</v>
      </c>
      <c r="J32" s="37" t="str">
        <f t="shared" si="0"/>
        <v>·</v>
      </c>
      <c r="K32" s="38" t="str">
        <f t="shared" si="1"/>
        <v>·</v>
      </c>
      <c r="L32" s="47"/>
      <c r="M32" s="39"/>
      <c r="N32" s="48"/>
      <c r="O32" s="48"/>
      <c r="P32" s="48"/>
      <c r="Q32" s="48"/>
      <c r="R32" s="48"/>
      <c r="S32" s="48"/>
      <c r="T32" s="48"/>
      <c r="U32" s="40"/>
      <c r="V32" s="40"/>
      <c r="X32" s="37" t="str">
        <f t="shared" si="2"/>
        <v>·</v>
      </c>
      <c r="Y32" s="38" t="str">
        <f t="shared" si="3"/>
        <v>·</v>
      </c>
      <c r="Z32" s="47"/>
      <c r="AA32" s="39"/>
      <c r="AB32" s="48"/>
      <c r="AC32" s="48"/>
      <c r="AD32" s="48"/>
      <c r="AE32" s="48"/>
      <c r="AF32" s="48"/>
      <c r="AG32" s="48"/>
      <c r="AH32" s="48"/>
      <c r="AI32" s="40"/>
      <c r="AJ32" s="40"/>
      <c r="AL32" s="41"/>
      <c r="AM32" s="41"/>
      <c r="AN32" s="41"/>
      <c r="AO32" s="41"/>
      <c r="AP32" s="41"/>
      <c r="AQ32" s="41"/>
      <c r="AR32" s="41"/>
    </row>
    <row r="33" spans="1:44" outlineLevel="1" x14ac:dyDescent="0.25">
      <c r="A33" s="18"/>
      <c r="B33" s="18" t="s">
        <v>178</v>
      </c>
      <c r="C33" s="20" t="s">
        <v>287</v>
      </c>
      <c r="D33" s="18">
        <v>5997654</v>
      </c>
      <c r="E33" s="19">
        <v>12</v>
      </c>
      <c r="F33" s="20">
        <v>150</v>
      </c>
      <c r="G33" s="20">
        <v>30</v>
      </c>
      <c r="H33" s="20">
        <v>17</v>
      </c>
      <c r="J33" s="21" t="str">
        <f t="shared" si="0"/>
        <v>·</v>
      </c>
      <c r="K33" s="22" t="str">
        <f t="shared" si="1"/>
        <v>·</v>
      </c>
      <c r="L33" s="45"/>
      <c r="M33" s="23"/>
      <c r="N33" s="46"/>
      <c r="O33" s="46"/>
      <c r="P33" s="46"/>
      <c r="Q33" s="46"/>
      <c r="R33" s="46"/>
      <c r="S33" s="46"/>
      <c r="T33" s="46"/>
      <c r="U33" s="24"/>
      <c r="V33" s="24"/>
      <c r="X33" s="21" t="str">
        <f t="shared" si="2"/>
        <v>·</v>
      </c>
      <c r="Y33" s="22" t="str">
        <f t="shared" si="3"/>
        <v>·</v>
      </c>
      <c r="Z33" s="45"/>
      <c r="AA33" s="23"/>
      <c r="AB33" s="46"/>
      <c r="AC33" s="46"/>
      <c r="AD33" s="46"/>
      <c r="AE33" s="46"/>
      <c r="AF33" s="46"/>
      <c r="AG33" s="46"/>
      <c r="AH33" s="46"/>
      <c r="AI33" s="24"/>
      <c r="AJ33" s="24"/>
      <c r="AL33" s="25"/>
      <c r="AM33" s="25"/>
      <c r="AN33" s="25"/>
      <c r="AO33" s="25"/>
      <c r="AP33" s="25"/>
      <c r="AQ33" s="25"/>
      <c r="AR33" s="25"/>
    </row>
    <row r="34" spans="1:44" ht="15.75" outlineLevel="1" thickBot="1" x14ac:dyDescent="0.3">
      <c r="A34" s="34"/>
      <c r="B34" s="26" t="s">
        <v>178</v>
      </c>
      <c r="C34" s="28" t="s">
        <v>288</v>
      </c>
      <c r="D34" s="26">
        <v>5997654</v>
      </c>
      <c r="E34" s="27">
        <v>12</v>
      </c>
      <c r="F34" s="28">
        <v>150</v>
      </c>
      <c r="G34" s="28">
        <v>30</v>
      </c>
      <c r="H34" s="28">
        <v>25</v>
      </c>
      <c r="J34" s="29" t="str">
        <f t="shared" si="0"/>
        <v>·</v>
      </c>
      <c r="K34" s="30" t="str">
        <f t="shared" si="1"/>
        <v>·</v>
      </c>
      <c r="L34" s="59"/>
      <c r="M34" s="31"/>
      <c r="N34" s="60"/>
      <c r="O34" s="60"/>
      <c r="P34" s="60"/>
      <c r="Q34" s="60"/>
      <c r="R34" s="60"/>
      <c r="S34" s="60"/>
      <c r="T34" s="60"/>
      <c r="U34" s="32"/>
      <c r="V34" s="32"/>
      <c r="X34" s="29" t="str">
        <f t="shared" si="2"/>
        <v>·</v>
      </c>
      <c r="Y34" s="30" t="str">
        <f t="shared" si="3"/>
        <v>·</v>
      </c>
      <c r="Z34" s="59"/>
      <c r="AA34" s="31"/>
      <c r="AB34" s="60"/>
      <c r="AC34" s="60"/>
      <c r="AD34" s="60"/>
      <c r="AE34" s="60"/>
      <c r="AF34" s="60"/>
      <c r="AG34" s="60"/>
      <c r="AH34" s="60"/>
      <c r="AI34" s="32"/>
      <c r="AJ34" s="32"/>
      <c r="AL34" s="33"/>
      <c r="AM34" s="33"/>
      <c r="AN34" s="33"/>
      <c r="AO34" s="33"/>
      <c r="AP34" s="33"/>
      <c r="AQ34" s="33"/>
      <c r="AR34" s="33"/>
    </row>
    <row r="35" spans="1:44" x14ac:dyDescent="0.25">
      <c r="A35" s="18"/>
      <c r="B35" s="18" t="s">
        <v>181</v>
      </c>
      <c r="C35" s="20" t="s">
        <v>284</v>
      </c>
      <c r="D35" s="18">
        <v>9000000</v>
      </c>
      <c r="E35" s="19">
        <v>12</v>
      </c>
      <c r="F35" s="20">
        <v>300</v>
      </c>
      <c r="G35" s="20">
        <v>30</v>
      </c>
      <c r="H35" s="20">
        <v>3</v>
      </c>
      <c r="J35" s="21" t="str">
        <f t="shared" si="0"/>
        <v>·</v>
      </c>
      <c r="K35" s="22" t="str">
        <f t="shared" si="1"/>
        <v>·</v>
      </c>
      <c r="L35" s="45"/>
      <c r="M35" s="23"/>
      <c r="N35" s="46"/>
      <c r="O35" s="46"/>
      <c r="P35" s="46"/>
      <c r="Q35" s="46"/>
      <c r="R35" s="46"/>
      <c r="S35" s="46"/>
      <c r="T35" s="46"/>
      <c r="U35" s="24"/>
      <c r="V35" s="24"/>
      <c r="X35" s="21" t="str">
        <f t="shared" si="2"/>
        <v>·</v>
      </c>
      <c r="Y35" s="22" t="str">
        <f t="shared" si="3"/>
        <v>·</v>
      </c>
      <c r="Z35" s="45"/>
      <c r="AA35" s="23"/>
      <c r="AB35" s="46"/>
      <c r="AC35" s="46"/>
      <c r="AD35" s="46"/>
      <c r="AE35" s="46"/>
      <c r="AF35" s="46"/>
      <c r="AG35" s="46"/>
      <c r="AH35" s="46"/>
      <c r="AI35" s="24"/>
      <c r="AJ35" s="24"/>
      <c r="AL35" s="25" t="str">
        <f t="array" ref="AL35">IF( OR(AND(ISBLANK(M35:M39)),AND(ISBLANK(AA35:AA39)), AND(ISBLANK(N35:N39)),AND(ISBLANK(AB35:AB39))), "·", bdRateExtend( M35:M39,N35:N39, AA35:AA39,AB35:AB39))</f>
        <v>·</v>
      </c>
      <c r="AM35" s="25" t="str">
        <f t="array" ref="AM35">IF( OR(AND(ISBLANK(M35:M39)),AND(ISBLANK(AA35:AA39)), AND(ISBLANK(O35:O39)),AND(ISBLANK(AC35:AC39))), "·", bdRateExtend( M35:M39,O35:O39, AA35:AA39,AC35:AC39))</f>
        <v>·</v>
      </c>
      <c r="AN35" s="25" t="str">
        <f t="array" ref="AN35">IF( OR(AND(ISBLANK(M35:M39)),AND(ISBLANK(AA35:AA39)), AND(ISBLANK(P35:P39)),AND(ISBLANK(AD35:AD39))), "·", bdRateExtend( M35:M39,P35:P39, AA35:AA39,AD35:AD39))</f>
        <v>·</v>
      </c>
      <c r="AO35" s="25" t="str">
        <f t="array" ref="AO35">IF( OR(AND(ISBLANK(M35:M39)),AND(ISBLANK(AA35:AA39)), AND(ISBLANK(Q35:Q39)),AND(ISBLANK(AE35:AE39))), "·", bdRateExtend( M35:M39,Q35:Q39, AA35:AA39,AE35:AE39))</f>
        <v>·</v>
      </c>
      <c r="AP35" s="25" t="str">
        <f t="array" ref="AP35">IF( OR(AND(ISBLANK(M35:M39)),AND(ISBLANK(AA35:AA39)), AND(ISBLANK(R35:R39)),AND(ISBLANK(AF35:AF39))), "·", bdRateExtend( M35:M39,R35:R39, AA35:AA39,AF35:AF39))</f>
        <v>·</v>
      </c>
      <c r="AQ35" s="25" t="str">
        <f t="array" ref="AQ35">IF( OR(AND(ISBLANK(M35:M39)),AND(ISBLANK(AA35:AA39)), AND(ISBLANK(S35:S39)),AND(ISBLANK(AG35:AG39))), "·", bdRateExtend( M35:M39,S35:S39, AA35:AA39,AG35:AG39))</f>
        <v>·</v>
      </c>
      <c r="AR35" s="25" t="str">
        <f t="array" ref="AR35">IF( OR(AND(ISBLANK(M35:M39)),AND(ISBLANK(AA35:AA39)), AND(ISBLANK(T35:T39)),AND(ISBLANK(AH35:AH39))), "·", bdRateExtend( M35:M39,T35:T39, AA35:AA39,AH35:AH39))</f>
        <v>·</v>
      </c>
    </row>
    <row r="36" spans="1:44" outlineLevel="1" x14ac:dyDescent="0.25">
      <c r="A36" s="34"/>
      <c r="B36" s="34" t="s">
        <v>181</v>
      </c>
      <c r="C36" s="36" t="s">
        <v>285</v>
      </c>
      <c r="D36" s="34">
        <v>9000000</v>
      </c>
      <c r="E36" s="35">
        <v>12</v>
      </c>
      <c r="F36" s="36">
        <v>300</v>
      </c>
      <c r="G36" s="36">
        <v>30</v>
      </c>
      <c r="H36" s="36">
        <v>4</v>
      </c>
      <c r="J36" s="37" t="str">
        <f t="shared" si="0"/>
        <v>·</v>
      </c>
      <c r="K36" s="38" t="str">
        <f t="shared" si="1"/>
        <v>·</v>
      </c>
      <c r="L36" s="47"/>
      <c r="M36" s="39"/>
      <c r="N36" s="48"/>
      <c r="O36" s="48"/>
      <c r="P36" s="48"/>
      <c r="Q36" s="48"/>
      <c r="R36" s="48"/>
      <c r="S36" s="48"/>
      <c r="T36" s="48"/>
      <c r="U36" s="40"/>
      <c r="V36" s="40"/>
      <c r="X36" s="37" t="str">
        <f t="shared" si="2"/>
        <v>·</v>
      </c>
      <c r="Y36" s="38" t="str">
        <f t="shared" si="3"/>
        <v>·</v>
      </c>
      <c r="Z36" s="47"/>
      <c r="AA36" s="39"/>
      <c r="AB36" s="48"/>
      <c r="AC36" s="48"/>
      <c r="AD36" s="48"/>
      <c r="AE36" s="48"/>
      <c r="AF36" s="48"/>
      <c r="AG36" s="48"/>
      <c r="AH36" s="48"/>
      <c r="AI36" s="40"/>
      <c r="AJ36" s="40"/>
      <c r="AL36" s="41"/>
      <c r="AM36" s="41"/>
      <c r="AN36" s="41"/>
      <c r="AO36" s="41"/>
      <c r="AP36" s="41"/>
      <c r="AQ36" s="41"/>
      <c r="AR36" s="41"/>
    </row>
    <row r="37" spans="1:44" outlineLevel="1" x14ac:dyDescent="0.25">
      <c r="A37" s="18"/>
      <c r="B37" s="18" t="s">
        <v>181</v>
      </c>
      <c r="C37" s="20" t="s">
        <v>286</v>
      </c>
      <c r="D37" s="18">
        <v>9000000</v>
      </c>
      <c r="E37" s="19">
        <v>12</v>
      </c>
      <c r="F37" s="20">
        <v>300</v>
      </c>
      <c r="G37" s="20">
        <v>30</v>
      </c>
      <c r="H37" s="20">
        <v>6</v>
      </c>
      <c r="J37" s="21" t="str">
        <f t="shared" si="0"/>
        <v>·</v>
      </c>
      <c r="K37" s="22" t="str">
        <f t="shared" si="1"/>
        <v>·</v>
      </c>
      <c r="L37" s="45"/>
      <c r="M37" s="23"/>
      <c r="N37" s="46"/>
      <c r="O37" s="46"/>
      <c r="P37" s="46"/>
      <c r="Q37" s="46"/>
      <c r="R37" s="46"/>
      <c r="S37" s="46"/>
      <c r="T37" s="46"/>
      <c r="U37" s="24"/>
      <c r="V37" s="24"/>
      <c r="X37" s="21" t="str">
        <f t="shared" si="2"/>
        <v>·</v>
      </c>
      <c r="Y37" s="22" t="str">
        <f t="shared" si="3"/>
        <v>·</v>
      </c>
      <c r="Z37" s="45"/>
      <c r="AA37" s="23"/>
      <c r="AB37" s="46"/>
      <c r="AC37" s="46"/>
      <c r="AD37" s="46"/>
      <c r="AE37" s="46"/>
      <c r="AF37" s="46"/>
      <c r="AG37" s="46"/>
      <c r="AH37" s="46"/>
      <c r="AI37" s="24"/>
      <c r="AJ37" s="24"/>
      <c r="AL37" s="25"/>
      <c r="AM37" s="25"/>
      <c r="AN37" s="25"/>
      <c r="AO37" s="25"/>
      <c r="AP37" s="25"/>
      <c r="AQ37" s="25"/>
      <c r="AR37" s="25"/>
    </row>
    <row r="38" spans="1:44" outlineLevel="1" x14ac:dyDescent="0.25">
      <c r="A38" s="34"/>
      <c r="B38" s="34" t="s">
        <v>181</v>
      </c>
      <c r="C38" s="36" t="s">
        <v>287</v>
      </c>
      <c r="D38" s="34">
        <v>9000000</v>
      </c>
      <c r="E38" s="35">
        <v>12</v>
      </c>
      <c r="F38" s="36">
        <v>300</v>
      </c>
      <c r="G38" s="36">
        <v>30</v>
      </c>
      <c r="H38" s="36">
        <v>8</v>
      </c>
      <c r="J38" s="37" t="str">
        <f t="shared" si="0"/>
        <v>·</v>
      </c>
      <c r="K38" s="38" t="str">
        <f t="shared" si="1"/>
        <v>·</v>
      </c>
      <c r="L38" s="47"/>
      <c r="M38" s="39"/>
      <c r="N38" s="48"/>
      <c r="O38" s="48"/>
      <c r="P38" s="48"/>
      <c r="Q38" s="48"/>
      <c r="R38" s="48"/>
      <c r="S38" s="48"/>
      <c r="T38" s="48"/>
      <c r="U38" s="40"/>
      <c r="V38" s="40"/>
      <c r="X38" s="37" t="str">
        <f t="shared" si="2"/>
        <v>·</v>
      </c>
      <c r="Y38" s="38" t="str">
        <f t="shared" si="3"/>
        <v>·</v>
      </c>
      <c r="Z38" s="47"/>
      <c r="AA38" s="39"/>
      <c r="AB38" s="48"/>
      <c r="AC38" s="48"/>
      <c r="AD38" s="48"/>
      <c r="AE38" s="48"/>
      <c r="AF38" s="48"/>
      <c r="AG38" s="48"/>
      <c r="AH38" s="48"/>
      <c r="AI38" s="40"/>
      <c r="AJ38" s="40"/>
      <c r="AL38" s="41"/>
      <c r="AM38" s="41"/>
      <c r="AN38" s="41"/>
      <c r="AO38" s="41"/>
      <c r="AP38" s="41"/>
      <c r="AQ38" s="41"/>
      <c r="AR38" s="41"/>
    </row>
    <row r="39" spans="1:44" ht="15.75" outlineLevel="1" thickBot="1" x14ac:dyDescent="0.3">
      <c r="A39" s="18"/>
      <c r="B39" s="49" t="s">
        <v>181</v>
      </c>
      <c r="C39" s="50" t="s">
        <v>288</v>
      </c>
      <c r="D39" s="49">
        <v>9000000</v>
      </c>
      <c r="E39" s="51">
        <v>12</v>
      </c>
      <c r="F39" s="50">
        <v>300</v>
      </c>
      <c r="G39" s="50">
        <v>30</v>
      </c>
      <c r="H39" s="50">
        <v>12</v>
      </c>
      <c r="J39" s="52" t="str">
        <f t="shared" si="0"/>
        <v>·</v>
      </c>
      <c r="K39" s="53" t="str">
        <f t="shared" si="1"/>
        <v>·</v>
      </c>
      <c r="L39" s="54"/>
      <c r="M39" s="55"/>
      <c r="N39" s="56"/>
      <c r="O39" s="56"/>
      <c r="P39" s="56"/>
      <c r="Q39" s="56"/>
      <c r="R39" s="56"/>
      <c r="S39" s="56"/>
      <c r="T39" s="56"/>
      <c r="U39" s="57"/>
      <c r="V39" s="57"/>
      <c r="X39" s="52" t="str">
        <f t="shared" si="2"/>
        <v>·</v>
      </c>
      <c r="Y39" s="53" t="str">
        <f t="shared" si="3"/>
        <v>·</v>
      </c>
      <c r="Z39" s="54"/>
      <c r="AA39" s="55"/>
      <c r="AB39" s="56"/>
      <c r="AC39" s="56"/>
      <c r="AD39" s="56"/>
      <c r="AE39" s="56"/>
      <c r="AF39" s="56"/>
      <c r="AG39" s="56"/>
      <c r="AH39" s="56"/>
      <c r="AI39" s="57"/>
      <c r="AJ39" s="57"/>
      <c r="AL39" s="58"/>
      <c r="AM39" s="58"/>
      <c r="AN39" s="58"/>
      <c r="AO39" s="58"/>
      <c r="AP39" s="58"/>
      <c r="AQ39" s="58"/>
      <c r="AR39" s="58"/>
    </row>
    <row r="40" spans="1:44" x14ac:dyDescent="0.25">
      <c r="A40" s="34"/>
      <c r="B40" s="34" t="s">
        <v>184</v>
      </c>
      <c r="C40" s="36" t="s">
        <v>284</v>
      </c>
      <c r="D40" s="34">
        <v>9000000</v>
      </c>
      <c r="E40" s="35">
        <v>12</v>
      </c>
      <c r="F40" s="36">
        <v>300</v>
      </c>
      <c r="G40" s="36">
        <v>30</v>
      </c>
      <c r="H40" s="36">
        <v>3</v>
      </c>
      <c r="J40" s="37" t="str">
        <f t="shared" si="0"/>
        <v>·</v>
      </c>
      <c r="K40" s="38" t="str">
        <f t="shared" si="1"/>
        <v>·</v>
      </c>
      <c r="L40" s="47"/>
      <c r="M40" s="39"/>
      <c r="N40" s="48"/>
      <c r="O40" s="48"/>
      <c r="P40" s="48"/>
      <c r="Q40" s="48"/>
      <c r="R40" s="48"/>
      <c r="S40" s="48"/>
      <c r="T40" s="48"/>
      <c r="U40" s="40"/>
      <c r="V40" s="40"/>
      <c r="X40" s="37" t="str">
        <f t="shared" si="2"/>
        <v>·</v>
      </c>
      <c r="Y40" s="38" t="str">
        <f t="shared" si="3"/>
        <v>·</v>
      </c>
      <c r="Z40" s="47"/>
      <c r="AA40" s="39"/>
      <c r="AB40" s="48"/>
      <c r="AC40" s="48"/>
      <c r="AD40" s="48"/>
      <c r="AE40" s="48"/>
      <c r="AF40" s="48"/>
      <c r="AG40" s="48"/>
      <c r="AH40" s="48"/>
      <c r="AI40" s="40"/>
      <c r="AJ40" s="40"/>
      <c r="AL40" s="41" t="str">
        <f t="array" ref="AL40">IF( OR(AND(ISBLANK(M40:M44)),AND(ISBLANK(AA40:AA44)), AND(ISBLANK(N40:N44)),AND(ISBLANK(AB40:AB44))), "·", bdRateExtend( M40:M44,N40:N44, AA40:AA44,AB40:AB44))</f>
        <v>·</v>
      </c>
      <c r="AM40" s="41" t="str">
        <f t="array" ref="AM40">IF( OR(AND(ISBLANK(M40:M44)),AND(ISBLANK(AA40:AA44)), AND(ISBLANK(O40:O44)),AND(ISBLANK(AC40:AC44))), "·", bdRateExtend( M40:M44,O40:O44, AA40:AA44,AC40:AC44))</f>
        <v>·</v>
      </c>
      <c r="AN40" s="41" t="str">
        <f t="array" ref="AN40">IF( OR(AND(ISBLANK(M40:M44)),AND(ISBLANK(AA40:AA44)), AND(ISBLANK(P40:P44)),AND(ISBLANK(AD40:AD44))), "·", bdRateExtend( M40:M44,P40:P44, AA40:AA44,AD40:AD44))</f>
        <v>·</v>
      </c>
      <c r="AO40" s="41" t="str">
        <f t="array" ref="AO40">IF( OR(AND(ISBLANK(M40:M44)),AND(ISBLANK(AA40:AA44)), AND(ISBLANK(Q40:Q44)),AND(ISBLANK(AE40:AE44))), "·", bdRateExtend( M40:M44,Q40:Q44, AA40:AA44,AE40:AE44))</f>
        <v>·</v>
      </c>
      <c r="AP40" s="41" t="str">
        <f t="array" ref="AP40">IF( OR(AND(ISBLANK(M40:M44)),AND(ISBLANK(AA40:AA44)), AND(ISBLANK(R40:R44)),AND(ISBLANK(AF40:AF44))), "·", bdRateExtend( M40:M44,R40:R44, AA40:AA44,AF40:AF44))</f>
        <v>·</v>
      </c>
      <c r="AQ40" s="41" t="str">
        <f t="array" ref="AQ40">IF( OR(AND(ISBLANK(M40:M44)),AND(ISBLANK(AA40:AA44)), AND(ISBLANK(S40:S44)),AND(ISBLANK(AG40:AG44))), "·", bdRateExtend( M40:M44,S40:S44, AA40:AA44,AG40:AG44))</f>
        <v>·</v>
      </c>
      <c r="AR40" s="41" t="str">
        <f t="array" ref="AR40">IF( OR(AND(ISBLANK(M40:M44)),AND(ISBLANK(AA40:AA44)), AND(ISBLANK(T40:T44)),AND(ISBLANK(AH40:AH44))), "·", bdRateExtend( M40:M44,T40:T44, AA40:AA44,AH40:AH44))</f>
        <v>·</v>
      </c>
    </row>
    <row r="41" spans="1:44" outlineLevel="1" x14ac:dyDescent="0.25">
      <c r="A41" s="18"/>
      <c r="B41" s="18" t="s">
        <v>184</v>
      </c>
      <c r="C41" s="20" t="s">
        <v>285</v>
      </c>
      <c r="D41" s="18">
        <v>9000000</v>
      </c>
      <c r="E41" s="19">
        <v>12</v>
      </c>
      <c r="F41" s="20">
        <v>300</v>
      </c>
      <c r="G41" s="20">
        <v>30</v>
      </c>
      <c r="H41" s="20">
        <v>4</v>
      </c>
      <c r="J41" s="21" t="str">
        <f t="shared" si="0"/>
        <v>·</v>
      </c>
      <c r="K41" s="22" t="str">
        <f t="shared" si="1"/>
        <v>·</v>
      </c>
      <c r="L41" s="45"/>
      <c r="M41" s="23"/>
      <c r="N41" s="46"/>
      <c r="O41" s="46"/>
      <c r="P41" s="46"/>
      <c r="Q41" s="46"/>
      <c r="R41" s="46"/>
      <c r="S41" s="46"/>
      <c r="T41" s="46"/>
      <c r="U41" s="24"/>
      <c r="V41" s="24"/>
      <c r="X41" s="21" t="str">
        <f t="shared" si="2"/>
        <v>·</v>
      </c>
      <c r="Y41" s="22" t="str">
        <f t="shared" si="3"/>
        <v>·</v>
      </c>
      <c r="Z41" s="45"/>
      <c r="AA41" s="23"/>
      <c r="AB41" s="46"/>
      <c r="AC41" s="46"/>
      <c r="AD41" s="46"/>
      <c r="AE41" s="46"/>
      <c r="AF41" s="46"/>
      <c r="AG41" s="46"/>
      <c r="AH41" s="46"/>
      <c r="AI41" s="24"/>
      <c r="AJ41" s="24"/>
      <c r="AL41" s="25"/>
      <c r="AM41" s="25"/>
      <c r="AN41" s="25"/>
      <c r="AO41" s="25"/>
      <c r="AP41" s="25"/>
      <c r="AQ41" s="25"/>
      <c r="AR41" s="25"/>
    </row>
    <row r="42" spans="1:44" outlineLevel="1" x14ac:dyDescent="0.25">
      <c r="A42" s="34"/>
      <c r="B42" s="34" t="s">
        <v>184</v>
      </c>
      <c r="C42" s="36" t="s">
        <v>286</v>
      </c>
      <c r="D42" s="34">
        <v>9000000</v>
      </c>
      <c r="E42" s="35">
        <v>12</v>
      </c>
      <c r="F42" s="36">
        <v>300</v>
      </c>
      <c r="G42" s="36">
        <v>30</v>
      </c>
      <c r="H42" s="36">
        <v>6</v>
      </c>
      <c r="J42" s="37" t="str">
        <f t="shared" si="0"/>
        <v>·</v>
      </c>
      <c r="K42" s="38" t="str">
        <f t="shared" si="1"/>
        <v>·</v>
      </c>
      <c r="L42" s="47"/>
      <c r="M42" s="39"/>
      <c r="N42" s="48"/>
      <c r="O42" s="48"/>
      <c r="P42" s="48"/>
      <c r="Q42" s="48"/>
      <c r="R42" s="48"/>
      <c r="S42" s="48"/>
      <c r="T42" s="48"/>
      <c r="U42" s="40"/>
      <c r="V42" s="40"/>
      <c r="X42" s="37" t="str">
        <f t="shared" si="2"/>
        <v>·</v>
      </c>
      <c r="Y42" s="38" t="str">
        <f t="shared" si="3"/>
        <v>·</v>
      </c>
      <c r="Z42" s="47"/>
      <c r="AA42" s="39"/>
      <c r="AB42" s="48"/>
      <c r="AC42" s="48"/>
      <c r="AD42" s="48"/>
      <c r="AE42" s="48"/>
      <c r="AF42" s="48"/>
      <c r="AG42" s="48"/>
      <c r="AH42" s="48"/>
      <c r="AI42" s="40"/>
      <c r="AJ42" s="40"/>
      <c r="AL42" s="41"/>
      <c r="AM42" s="41"/>
      <c r="AN42" s="41"/>
      <c r="AO42" s="41"/>
      <c r="AP42" s="41"/>
      <c r="AQ42" s="41"/>
      <c r="AR42" s="41"/>
    </row>
    <row r="43" spans="1:44" outlineLevel="1" x14ac:dyDescent="0.25">
      <c r="A43" s="18"/>
      <c r="B43" s="18" t="s">
        <v>184</v>
      </c>
      <c r="C43" s="20" t="s">
        <v>287</v>
      </c>
      <c r="D43" s="18">
        <v>9000000</v>
      </c>
      <c r="E43" s="19">
        <v>12</v>
      </c>
      <c r="F43" s="20">
        <v>300</v>
      </c>
      <c r="G43" s="20">
        <v>30</v>
      </c>
      <c r="H43" s="20">
        <v>8</v>
      </c>
      <c r="J43" s="21" t="str">
        <f t="shared" si="0"/>
        <v>·</v>
      </c>
      <c r="K43" s="22" t="str">
        <f t="shared" si="1"/>
        <v>·</v>
      </c>
      <c r="L43" s="45"/>
      <c r="M43" s="23"/>
      <c r="N43" s="46"/>
      <c r="O43" s="46"/>
      <c r="P43" s="46"/>
      <c r="Q43" s="46"/>
      <c r="R43" s="46"/>
      <c r="S43" s="46"/>
      <c r="T43" s="46"/>
      <c r="U43" s="24"/>
      <c r="V43" s="24"/>
      <c r="X43" s="21" t="str">
        <f t="shared" si="2"/>
        <v>·</v>
      </c>
      <c r="Y43" s="22" t="str">
        <f t="shared" si="3"/>
        <v>·</v>
      </c>
      <c r="Z43" s="45"/>
      <c r="AA43" s="23"/>
      <c r="AB43" s="46"/>
      <c r="AC43" s="46"/>
      <c r="AD43" s="46"/>
      <c r="AE43" s="46"/>
      <c r="AF43" s="46"/>
      <c r="AG43" s="46"/>
      <c r="AH43" s="46"/>
      <c r="AI43" s="24"/>
      <c r="AJ43" s="24"/>
      <c r="AL43" s="25"/>
      <c r="AM43" s="25"/>
      <c r="AN43" s="25"/>
      <c r="AO43" s="25"/>
      <c r="AP43" s="25"/>
      <c r="AQ43" s="25"/>
      <c r="AR43" s="25"/>
    </row>
    <row r="44" spans="1:44" ht="15.75" outlineLevel="1" thickBot="1" x14ac:dyDescent="0.3">
      <c r="A44" s="26"/>
      <c r="B44" s="26" t="s">
        <v>184</v>
      </c>
      <c r="C44" s="28" t="s">
        <v>288</v>
      </c>
      <c r="D44" s="26">
        <v>9000000</v>
      </c>
      <c r="E44" s="27">
        <v>12</v>
      </c>
      <c r="F44" s="28">
        <v>300</v>
      </c>
      <c r="G44" s="28">
        <v>30</v>
      </c>
      <c r="H44" s="28">
        <v>12</v>
      </c>
      <c r="J44" s="29" t="str">
        <f t="shared" si="0"/>
        <v>·</v>
      </c>
      <c r="K44" s="30" t="str">
        <f t="shared" si="1"/>
        <v>·</v>
      </c>
      <c r="L44" s="59"/>
      <c r="M44" s="31"/>
      <c r="N44" s="60"/>
      <c r="O44" s="60"/>
      <c r="P44" s="60"/>
      <c r="Q44" s="60"/>
      <c r="R44" s="60"/>
      <c r="S44" s="60"/>
      <c r="T44" s="60"/>
      <c r="U44" s="32"/>
      <c r="V44" s="32"/>
      <c r="X44" s="29" t="str">
        <f t="shared" si="2"/>
        <v>·</v>
      </c>
      <c r="Y44" s="30" t="str">
        <f t="shared" si="3"/>
        <v>·</v>
      </c>
      <c r="Z44" s="59"/>
      <c r="AA44" s="31"/>
      <c r="AB44" s="60"/>
      <c r="AC44" s="60"/>
      <c r="AD44" s="60"/>
      <c r="AE44" s="60"/>
      <c r="AF44" s="60"/>
      <c r="AG44" s="60"/>
      <c r="AH44" s="60"/>
      <c r="AI44" s="32"/>
      <c r="AJ44" s="32"/>
      <c r="AL44" s="33"/>
      <c r="AM44" s="33"/>
      <c r="AN44" s="33"/>
      <c r="AO44" s="33"/>
      <c r="AP44" s="33"/>
      <c r="AQ44" s="33"/>
      <c r="AR44" s="33"/>
    </row>
    <row r="45" spans="1:44" x14ac:dyDescent="0.25">
      <c r="B45" s="42" t="s">
        <v>187</v>
      </c>
      <c r="K45" s="43" t="e">
        <f>AVERAGE(K5:K14)</f>
        <v>#DIV/0!</v>
      </c>
      <c r="Y45" s="43" t="e">
        <f>AVERAGE(Y5:Y14)</f>
        <v>#DIV/0!</v>
      </c>
      <c r="AL45" s="6" t="e">
        <f t="shared" ref="AL45:AR45" si="4">AVERAGE(AL5:AL14)</f>
        <v>#DIV/0!</v>
      </c>
      <c r="AM45" s="6" t="e">
        <f t="shared" si="4"/>
        <v>#DIV/0!</v>
      </c>
      <c r="AN45" s="6" t="e">
        <f t="shared" si="4"/>
        <v>#DIV/0!</v>
      </c>
      <c r="AO45" s="6" t="e">
        <f t="shared" si="4"/>
        <v>#DIV/0!</v>
      </c>
      <c r="AP45" s="6" t="e">
        <f t="shared" si="4"/>
        <v>#DIV/0!</v>
      </c>
      <c r="AQ45" s="6" t="e">
        <f t="shared" si="4"/>
        <v>#DIV/0!</v>
      </c>
      <c r="AR45" s="6" t="e">
        <f t="shared" si="4"/>
        <v>#DIV/0!</v>
      </c>
    </row>
    <row r="46" spans="1:44" x14ac:dyDescent="0.25">
      <c r="B46" s="42" t="s">
        <v>188</v>
      </c>
      <c r="K46" s="43" t="e">
        <f>AVERAGE(K15:K24)</f>
        <v>#DIV/0!</v>
      </c>
      <c r="Y46" s="43" t="e">
        <f>AVERAGE(Y15:Y24)</f>
        <v>#DIV/0!</v>
      </c>
      <c r="AL46" s="6" t="e">
        <f t="shared" ref="AL46:AR46" si="5">AVERAGE(AL15:AL24)</f>
        <v>#DIV/0!</v>
      </c>
      <c r="AM46" s="6" t="e">
        <f t="shared" si="5"/>
        <v>#DIV/0!</v>
      </c>
      <c r="AN46" s="6" t="e">
        <f t="shared" si="5"/>
        <v>#DIV/0!</v>
      </c>
      <c r="AO46" s="6" t="e">
        <f t="shared" si="5"/>
        <v>#DIV/0!</v>
      </c>
      <c r="AP46" s="6" t="e">
        <f t="shared" si="5"/>
        <v>#DIV/0!</v>
      </c>
      <c r="AQ46" s="6" t="e">
        <f t="shared" si="5"/>
        <v>#DIV/0!</v>
      </c>
      <c r="AR46" s="6" t="e">
        <f t="shared" si="5"/>
        <v>#DIV/0!</v>
      </c>
    </row>
    <row r="47" spans="1:44" x14ac:dyDescent="0.25">
      <c r="B47" s="42" t="s">
        <v>189</v>
      </c>
      <c r="K47" s="43" t="e">
        <f>AVERAGE(K25:K44)</f>
        <v>#DIV/0!</v>
      </c>
      <c r="Y47" s="43" t="e">
        <f>AVERAGE(Y25:Y44)</f>
        <v>#DIV/0!</v>
      </c>
      <c r="AL47" s="6" t="e">
        <f t="shared" ref="AL47:AR47" si="6">AVERAGE(AL25:AL44)</f>
        <v>#DIV/0!</v>
      </c>
      <c r="AM47" s="6" t="e">
        <f t="shared" si="6"/>
        <v>#DIV/0!</v>
      </c>
      <c r="AN47" s="6" t="e">
        <f t="shared" si="6"/>
        <v>#DIV/0!</v>
      </c>
      <c r="AO47" s="6" t="e">
        <f t="shared" si="6"/>
        <v>#DIV/0!</v>
      </c>
      <c r="AP47" s="6" t="e">
        <f t="shared" si="6"/>
        <v>#DIV/0!</v>
      </c>
      <c r="AQ47" s="6" t="e">
        <f t="shared" si="6"/>
        <v>#DIV/0!</v>
      </c>
      <c r="AR47" s="6" t="e">
        <f t="shared" si="6"/>
        <v>#DIV/0!</v>
      </c>
    </row>
    <row r="48" spans="1:44" x14ac:dyDescent="0.25">
      <c r="B48" s="42" t="s">
        <v>190</v>
      </c>
      <c r="K48" s="43" t="e">
        <f>AVERAGE(K5:K44)</f>
        <v>#DIV/0!</v>
      </c>
      <c r="Y48" s="43" t="e">
        <f>AVERAGE(Y5:Y44)</f>
        <v>#DIV/0!</v>
      </c>
      <c r="AL48" s="6" t="e">
        <f t="shared" ref="AL48:AR48" si="7">AVERAGE(AL5:AL44)</f>
        <v>#DIV/0!</v>
      </c>
      <c r="AM48" s="6" t="e">
        <f t="shared" si="7"/>
        <v>#DIV/0!</v>
      </c>
      <c r="AN48" s="6" t="e">
        <f t="shared" si="7"/>
        <v>#DIV/0!</v>
      </c>
      <c r="AO48" s="6" t="e">
        <f t="shared" si="7"/>
        <v>#DIV/0!</v>
      </c>
      <c r="AP48" s="6" t="e">
        <f t="shared" si="7"/>
        <v>#DIV/0!</v>
      </c>
      <c r="AQ48" s="6" t="e">
        <f t="shared" si="7"/>
        <v>#DIV/0!</v>
      </c>
      <c r="AR48" s="6" t="e">
        <f t="shared" si="7"/>
        <v>#DIV/0!</v>
      </c>
    </row>
    <row r="49" spans="1:36" x14ac:dyDescent="0.25">
      <c r="A49" s="42" t="s">
        <v>191</v>
      </c>
      <c r="B49" s="42" t="s">
        <v>192</v>
      </c>
      <c r="U49" s="44">
        <f>SUM(U5:U14,U15:U24,U25:U44)</f>
        <v>0</v>
      </c>
      <c r="V49" s="44">
        <f>SUM(V5:V14,V15:V24,V25:V44)</f>
        <v>0</v>
      </c>
      <c r="AI49" s="44">
        <f>SUM(AI5:AI14,AI15:AI24,AI25:AI44)</f>
        <v>0</v>
      </c>
      <c r="AJ49" s="44">
        <f>SUM(AJ5:AJ14,AJ15:AJ24,AJ25:AJ44)</f>
        <v>0</v>
      </c>
    </row>
    <row r="50" spans="1:36" x14ac:dyDescent="0.25">
      <c r="B50" s="42" t="s">
        <v>193</v>
      </c>
      <c r="AI50" s="9" t="e">
        <f>AI49/U49</f>
        <v>#DIV/0!</v>
      </c>
      <c r="AJ50" s="9" t="e">
        <f>AJ49/V49</f>
        <v>#DIV/0!</v>
      </c>
    </row>
  </sheetData>
  <mergeCells count="29">
    <mergeCell ref="AQ2:AR2"/>
    <mergeCell ref="A1:H1"/>
    <mergeCell ref="J1:V1"/>
    <mergeCell ref="X1:AJ1"/>
    <mergeCell ref="AB2:AF2"/>
    <mergeCell ref="AG2:AH2"/>
    <mergeCell ref="AI2:AI3"/>
    <mergeCell ref="AJ2:AJ3"/>
    <mergeCell ref="AL2:AP2"/>
    <mergeCell ref="V2:V3"/>
    <mergeCell ref="X2:X3"/>
    <mergeCell ref="Y2:Y3"/>
    <mergeCell ref="Z2:Z3"/>
    <mergeCell ref="AA2:AA3"/>
    <mergeCell ref="L2:L3"/>
    <mergeCell ref="M2:M3"/>
    <mergeCell ref="A2:A3"/>
    <mergeCell ref="B2:B3"/>
    <mergeCell ref="C2:C3"/>
    <mergeCell ref="D2:D3"/>
    <mergeCell ref="E2:E3"/>
    <mergeCell ref="N2:R2"/>
    <mergeCell ref="S2:T2"/>
    <mergeCell ref="U2:U3"/>
    <mergeCell ref="F2:F3"/>
    <mergeCell ref="G2:G3"/>
    <mergeCell ref="H2:H3"/>
    <mergeCell ref="J2:J3"/>
    <mergeCell ref="K2:K3"/>
  </mergeCells>
  <conditionalFormatting sqref="AL5 AL6 AL7 AL8 AL9 AL10 AL11 AL12 AL13 AL14 AL15 AL16 AL17 AL18 AL19 AL20 AL21 AL22 AL23 AL24 AL25 AL26 AL27 AL28 AL29 AL30 AL31 AL32 AL33 AL34 AL35 AL36 AL37 AL38 AL39 AL40 AL41 AL42 AL43 AL44 AL45 AL46 AL47 AL48">
    <cfRule type="cellIs" dxfId="15" priority="7" operator="greaterThanOrEqual">
      <formula>0.03</formula>
    </cfRule>
    <cfRule type="cellIs" dxfId="14" priority="8"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13" priority="3" operator="greaterThanOrEqual">
      <formula>0.03</formula>
    </cfRule>
    <cfRule type="cellIs" dxfId="12" priority="4"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11" priority="11" operator="greaterThanOrEqual">
      <formula>0.03</formula>
    </cfRule>
    <cfRule type="cellIs" dxfId="10" priority="12"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9" priority="13" operator="greaterThanOrEqual">
      <formula>0.03</formula>
    </cfRule>
    <cfRule type="cellIs" dxfId="8" priority="14"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7" priority="5" operator="greaterThanOrEqual">
      <formula>0.03</formula>
    </cfRule>
    <cfRule type="cellIs" dxfId="6" priority="6"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5" priority="15" operator="greaterThanOrEqual">
      <formula>0.03</formula>
    </cfRule>
    <cfRule type="cellIs" dxfId="4" priority="16"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3" priority="9" operator="greaterThanOrEqual">
      <formula>0.03</formula>
    </cfRule>
    <cfRule type="cellIs" dxfId="2" priority="10" operator="lessThanOrEqual">
      <formula>-0.03</formula>
    </cfRule>
  </conditionalFormatting>
  <conditionalFormatting sqref="J5:J45">
    <cfRule type="expression" dxfId="1" priority="2">
      <formula>OR(J5 &lt; H5 * 0.9, J5 &gt; H5)</formula>
    </cfRule>
  </conditionalFormatting>
  <conditionalFormatting sqref="X5:X45">
    <cfRule type="expression" dxfId="0" priority="1">
      <formula>OR(X5 &lt; H5 * 0.9, X5 &gt; H5)</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Summary</vt:lpstr>
      <vt:lpstr>Graphs</vt:lpstr>
      <vt:lpstr>C0 lossless AI</vt:lpstr>
      <vt:lpstr>names</vt:lpstr>
      <vt:lpstr>C1 lossy AI</vt:lpstr>
      <vt:lpstr>C2 lossy RA</vt:lpstr>
      <vt:lpstr>Graphs!all_cols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dynamic mesh coding reporting template WG7/N231</dc:title>
  <dc:creator>Bracco Graziosi, Danillo</dc:creator>
  <cp:lastModifiedBy>Julien Ricard</cp:lastModifiedBy>
  <dcterms:created xsi:type="dcterms:W3CDTF">2021-10-29T10:34:58Z</dcterms:created>
  <dcterms:modified xsi:type="dcterms:W3CDTF">2022-12-02T13:34:28Z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ed by">
    <vt:lpwstr>David Flynn &lt;davidflynn@apple.com&gt;</vt:lpwstr>
  </property>
  <property fmtid="{D5CDD505-2E9C-101B-9397-08002B2CF9AE}" pid="3" name="Generated from">
    <vt:lpwstr>ctc-mpeg127-3-g72fbc40
</vt:lpwstr>
  </property>
  <property fmtid="{D5CDD505-2E9C-101B-9397-08002B2CF9AE}" pid="4" name="Generated on">
    <vt:filetime>2021-10-29T10:34:58Z</vt:filetime>
  </property>
</Properties>
</file>