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1"/>
  <bookViews>
    <workbookView visibility="visible" minimized="0" showHorizontalScroll="1" showVerticalScroll="1" showSheetTabs="1" xWindow="28680" yWindow="-120" windowWidth="29040" windowHeight="17520" tabRatio="600" firstSheet="0" activeTab="5" autoFilterDateGrouping="1"/>
  </bookViews>
  <sheets>
    <sheet name="Summary" sheetId="1" state="visible" r:id="rId1"/>
    <sheet name="Graphs" sheetId="2" state="visible" r:id="rId2"/>
    <sheet name="C0 lossless AI" sheetId="3" state="visible" r:id="rId3"/>
    <sheet name="names" sheetId="4" state="hidden" r:id="rId4"/>
    <sheet name="C1 lossy AI" sheetId="5" state="visible" r:id="rId5"/>
    <sheet name="C2 lossy RA" sheetId="6" state="visible" r:id="rId6"/>
  </sheets>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fullCalcOnLoad="1"/>
</workbook>
</file>

<file path=xl/styles.xml><?xml version="1.0" encoding="utf-8"?>
<styleSheet xmlns="http://schemas.openxmlformats.org/spreadsheetml/2006/main">
  <numFmts count="3">
    <numFmt numFmtId="164" formatCode="0.0%"/>
    <numFmt numFmtId="165" formatCode="0.000"/>
    <numFmt numFmtId="166" formatCode="[&gt;1000]0;[&gt;100]0.0;0.00"/>
  </numFmts>
  <fonts count="2">
    <font>
      <name val="Calibri"/>
      <family val="2"/>
      <color theme="1"/>
      <sz val="11"/>
      <scheme val="minor"/>
    </font>
    <font>
      <name val="Calibri"/>
      <family val="2"/>
      <b val="1"/>
      <color theme="1"/>
      <sz val="11"/>
      <scheme val="minor"/>
    </font>
  </fonts>
  <fills count="13">
    <fill>
      <patternFill/>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0" tint="-0.249977111117893"/>
        <bgColor indexed="64"/>
      </patternFill>
    </fill>
  </fills>
  <borders count="17">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auto="1"/>
      </bottom>
      <diagonal/>
    </border>
    <border>
      <left style="medium">
        <color indexed="64"/>
      </left>
      <right/>
      <top/>
      <bottom style="medium">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auto="1"/>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s>
  <cellStyleXfs count="1">
    <xf numFmtId="0" fontId="0" fillId="0" borderId="0"/>
  </cellStyleXfs>
  <cellXfs count="93">
    <xf numFmtId="0" fontId="0" fillId="0" borderId="0" pivotButton="0" quotePrefix="0" xfId="0"/>
    <xf numFmtId="0" fontId="1" fillId="4" borderId="0" pivotButton="0" quotePrefix="0" xfId="0"/>
    <xf numFmtId="0" fontId="1" fillId="4" borderId="2" applyAlignment="1" pivotButton="0" quotePrefix="0" xfId="0">
      <alignment horizontal="center" vertical="center" wrapText="1"/>
    </xf>
    <xf numFmtId="0" fontId="1" fillId="4" borderId="0" applyAlignment="1" pivotButton="0" quotePrefix="0" xfId="0">
      <alignment horizontal="center" vertical="center" wrapText="1"/>
    </xf>
    <xf numFmtId="0" fontId="1" fillId="4" borderId="3" applyAlignment="1" pivotButton="0" quotePrefix="0" xfId="0">
      <alignment horizontal="center" vertical="center" wrapText="1"/>
    </xf>
    <xf numFmtId="0" fontId="0" fillId="0" borderId="0" pivotButton="0" quotePrefix="0" xfId="0"/>
    <xf numFmtId="164" fontId="0" fillId="0" borderId="0" applyAlignment="1" pivotButton="0" quotePrefix="0" xfId="0">
      <alignment horizontal="center"/>
    </xf>
    <xf numFmtId="0" fontId="1" fillId="0" borderId="4" pivotButton="0" quotePrefix="0" xfId="0"/>
    <xf numFmtId="164" fontId="0" fillId="0" borderId="4" applyAlignment="1" pivotButton="0" quotePrefix="0" xfId="0">
      <alignment horizontal="center"/>
    </xf>
    <xf numFmtId="9" fontId="0" fillId="0" borderId="0" applyAlignment="1" pivotButton="0" quotePrefix="0" xfId="0">
      <alignment horizontal="center"/>
    </xf>
    <xf numFmtId="0" fontId="0" fillId="0" borderId="3" pivotButton="0" quotePrefix="0" xfId="0"/>
    <xf numFmtId="9" fontId="0" fillId="0" borderId="3" applyAlignment="1" pivotButton="0" quotePrefix="0" xfId="0">
      <alignment horizontal="center"/>
    </xf>
    <xf numFmtId="0" fontId="1" fillId="5" borderId="3" applyAlignment="1" pivotButton="0" quotePrefix="0" xfId="0">
      <alignment horizontal="center" vertical="center" wrapText="1"/>
    </xf>
    <xf numFmtId="0" fontId="0" fillId="6" borderId="0" pivotButton="0" quotePrefix="0" xfId="0"/>
    <xf numFmtId="0" fontId="1" fillId="5" borderId="3" applyAlignment="1" pivotButton="0" quotePrefix="0" xfId="0">
      <alignment horizontal="center" wrapText="1"/>
    </xf>
    <xf numFmtId="0" fontId="1" fillId="4" borderId="3" applyAlignment="1" pivotButton="0" quotePrefix="0" xfId="0">
      <alignment horizontal="center" wrapText="1"/>
    </xf>
    <xf numFmtId="0" fontId="1" fillId="5" borderId="3" applyAlignment="1" pivotButton="0" quotePrefix="0" xfId="0">
      <alignment horizontal="center" textRotation="90" wrapText="1"/>
    </xf>
    <xf numFmtId="0" fontId="1" fillId="4" borderId="3" applyAlignment="1" pivotButton="0" quotePrefix="0" xfId="0">
      <alignment horizontal="center" textRotation="90" wrapText="1"/>
    </xf>
    <xf numFmtId="0" fontId="0" fillId="8" borderId="0" pivotButton="0" quotePrefix="0" xfId="0"/>
    <xf numFmtId="1" fontId="0" fillId="8" borderId="0" applyAlignment="1" pivotButton="0" quotePrefix="0" xfId="0">
      <alignment horizontal="center"/>
    </xf>
    <xf numFmtId="0" fontId="0" fillId="8" borderId="0" applyAlignment="1" pivotButton="0" quotePrefix="0" xfId="0">
      <alignment horizontal="center"/>
    </xf>
    <xf numFmtId="165" fontId="0" fillId="8" borderId="0" applyAlignment="1" pivotButton="0" quotePrefix="0" xfId="0">
      <alignment horizontal="center"/>
    </xf>
    <xf numFmtId="2" fontId="0" fillId="8" borderId="0" applyAlignment="1" pivotButton="0" quotePrefix="0" xfId="0">
      <alignment horizontal="center"/>
    </xf>
    <xf numFmtId="1" fontId="0" fillId="9" borderId="0" applyAlignment="1" pivotButton="0" quotePrefix="0" xfId="0">
      <alignment horizontal="center"/>
    </xf>
    <xf numFmtId="166" fontId="0" fillId="9" borderId="0" applyAlignment="1" pivotButton="0" quotePrefix="0" xfId="0">
      <alignment horizontal="center"/>
    </xf>
    <xf numFmtId="164" fontId="0" fillId="8" borderId="0" applyAlignment="1" pivotButton="0" quotePrefix="0" xfId="0">
      <alignment horizontal="center"/>
    </xf>
    <xf numFmtId="0" fontId="0" fillId="10" borderId="3" pivotButton="0" quotePrefix="0" xfId="0"/>
    <xf numFmtId="1" fontId="0" fillId="10" borderId="3" applyAlignment="1" pivotButton="0" quotePrefix="0" xfId="0">
      <alignment horizontal="center"/>
    </xf>
    <xf numFmtId="0" fontId="0" fillId="10" borderId="3" applyAlignment="1" pivotButton="0" quotePrefix="0" xfId="0">
      <alignment horizontal="center"/>
    </xf>
    <xf numFmtId="165" fontId="0" fillId="10" borderId="3" applyAlignment="1" pivotButton="0" quotePrefix="0" xfId="0">
      <alignment horizontal="center"/>
    </xf>
    <xf numFmtId="2" fontId="0" fillId="10" borderId="3" applyAlignment="1" pivotButton="0" quotePrefix="0" xfId="0">
      <alignment horizontal="center"/>
    </xf>
    <xf numFmtId="1" fontId="0" fillId="11" borderId="3" applyAlignment="1" pivotButton="0" quotePrefix="0" xfId="0">
      <alignment horizontal="center"/>
    </xf>
    <xf numFmtId="166" fontId="0" fillId="11" borderId="3" applyAlignment="1" pivotButton="0" quotePrefix="0" xfId="0">
      <alignment horizontal="center"/>
    </xf>
    <xf numFmtId="164" fontId="0" fillId="10" borderId="3" applyAlignment="1" pivotButton="0" quotePrefix="0" xfId="0">
      <alignment horizontal="center"/>
    </xf>
    <xf numFmtId="0" fontId="0" fillId="10" borderId="0" pivotButton="0" quotePrefix="0" xfId="0"/>
    <xf numFmtId="1" fontId="0" fillId="10" borderId="0" applyAlignment="1" pivotButton="0" quotePrefix="0" xfId="0">
      <alignment horizontal="center"/>
    </xf>
    <xf numFmtId="0" fontId="0" fillId="10" borderId="0" applyAlignment="1" pivotButton="0" quotePrefix="0" xfId="0">
      <alignment horizontal="center"/>
    </xf>
    <xf numFmtId="165" fontId="0" fillId="10" borderId="0" applyAlignment="1" pivotButton="0" quotePrefix="0" xfId="0">
      <alignment horizontal="center"/>
    </xf>
    <xf numFmtId="2" fontId="0" fillId="10" borderId="0" applyAlignment="1" pivotButton="0" quotePrefix="0" xfId="0">
      <alignment horizontal="center"/>
    </xf>
    <xf numFmtId="1" fontId="0" fillId="11" borderId="0" applyAlignment="1" pivotButton="0" quotePrefix="0" xfId="0">
      <alignment horizontal="center"/>
    </xf>
    <xf numFmtId="166" fontId="0" fillId="11" borderId="0" applyAlignment="1" pivotButton="0" quotePrefix="0" xfId="0">
      <alignment horizontal="center"/>
    </xf>
    <xf numFmtId="164" fontId="0" fillId="10" borderId="0" applyAlignment="1" pivotButton="0" quotePrefix="0" xfId="0">
      <alignment horizontal="center"/>
    </xf>
    <xf numFmtId="0" fontId="1" fillId="0" borderId="0" applyAlignment="1" pivotButton="0" quotePrefix="0" xfId="0">
      <alignment wrapText="1"/>
    </xf>
    <xf numFmtId="2" fontId="0" fillId="0" borderId="0" applyAlignment="1" pivotButton="0" quotePrefix="0" xfId="0">
      <alignment horizontal="center"/>
    </xf>
    <xf numFmtId="166" fontId="0" fillId="0" borderId="0" applyAlignment="1" pivotButton="0" quotePrefix="0" xfId="0">
      <alignment horizontal="center"/>
    </xf>
    <xf numFmtId="0" fontId="0" fillId="9" borderId="0" pivotButton="0" quotePrefix="0" xfId="0"/>
    <xf numFmtId="2" fontId="0" fillId="9" borderId="0" applyAlignment="1" pivotButton="0" quotePrefix="0" xfId="0">
      <alignment horizontal="center"/>
    </xf>
    <xf numFmtId="0" fontId="0" fillId="11" borderId="0" pivotButton="0" quotePrefix="0" xfId="0"/>
    <xf numFmtId="2" fontId="0" fillId="11" borderId="0" applyAlignment="1" pivotButton="0" quotePrefix="0" xfId="0">
      <alignment horizontal="center"/>
    </xf>
    <xf numFmtId="0" fontId="0" fillId="8" borderId="3" pivotButton="0" quotePrefix="0" xfId="0"/>
    <xf numFmtId="0" fontId="0" fillId="8" borderId="3" applyAlignment="1" pivotButton="0" quotePrefix="0" xfId="0">
      <alignment horizontal="center"/>
    </xf>
    <xf numFmtId="1" fontId="0" fillId="8" borderId="3" applyAlignment="1" pivotButton="0" quotePrefix="0" xfId="0">
      <alignment horizontal="center"/>
    </xf>
    <xf numFmtId="165" fontId="0" fillId="8" borderId="3" applyAlignment="1" pivotButton="0" quotePrefix="0" xfId="0">
      <alignment horizontal="center"/>
    </xf>
    <xf numFmtId="2" fontId="0" fillId="8" borderId="3" applyAlignment="1" pivotButton="0" quotePrefix="0" xfId="0">
      <alignment horizontal="center"/>
    </xf>
    <xf numFmtId="0" fontId="0" fillId="9" borderId="3" pivotButton="0" quotePrefix="0" xfId="0"/>
    <xf numFmtId="1" fontId="0" fillId="9" borderId="3" applyAlignment="1" pivotButton="0" quotePrefix="0" xfId="0">
      <alignment horizontal="center"/>
    </xf>
    <xf numFmtId="2" fontId="0" fillId="9" borderId="3" applyAlignment="1" pivotButton="0" quotePrefix="0" xfId="0">
      <alignment horizontal="center"/>
    </xf>
    <xf numFmtId="166" fontId="0" fillId="9" borderId="3" applyAlignment="1" pivotButton="0" quotePrefix="0" xfId="0">
      <alignment horizontal="center"/>
    </xf>
    <xf numFmtId="164" fontId="0" fillId="8" borderId="3" applyAlignment="1" pivotButton="0" quotePrefix="0" xfId="0">
      <alignment horizontal="center"/>
    </xf>
    <xf numFmtId="0" fontId="0" fillId="11" borderId="3" pivotButton="0" quotePrefix="0" xfId="0"/>
    <xf numFmtId="2" fontId="0" fillId="11" borderId="3" applyAlignment="1" pivotButton="0" quotePrefix="0" xfId="0">
      <alignment horizontal="center"/>
    </xf>
    <xf numFmtId="0" fontId="1" fillId="2" borderId="0" applyAlignment="1" pivotButton="0" quotePrefix="0" xfId="0">
      <alignment horizontal="center" wrapText="1"/>
    </xf>
    <xf numFmtId="0" fontId="1" fillId="3" borderId="0" applyAlignment="1" pivotButton="0" quotePrefix="0" xfId="0">
      <alignment horizontal="center" wrapText="1"/>
    </xf>
    <xf numFmtId="0" fontId="1" fillId="4" borderId="1" applyAlignment="1" pivotButton="0" quotePrefix="0" xfId="0">
      <alignment horizontal="center" vertical="center" wrapText="1"/>
    </xf>
    <xf numFmtId="0" fontId="1" fillId="4" borderId="2" applyAlignment="1" pivotButton="0" quotePrefix="0" xfId="0">
      <alignment horizontal="center" vertical="center" wrapText="1"/>
    </xf>
    <xf numFmtId="0" fontId="1" fillId="4" borderId="0" applyAlignment="1" pivotButton="0" quotePrefix="0" xfId="0">
      <alignment horizontal="center" vertical="center" wrapText="1"/>
    </xf>
    <xf numFmtId="0" fontId="1" fillId="5" borderId="0" applyAlignment="1" pivotButton="0" quotePrefix="0" xfId="0">
      <alignment horizontal="center" vertical="center" wrapText="1"/>
    </xf>
    <xf numFmtId="9" fontId="0" fillId="0" borderId="0" applyAlignment="1" pivotButton="0" quotePrefix="0" xfId="0">
      <alignment horizontal="center"/>
    </xf>
    <xf numFmtId="9" fontId="0" fillId="0" borderId="3" applyAlignment="1" pivotButton="0" quotePrefix="0" xfId="0">
      <alignment horizontal="center"/>
    </xf>
    <xf numFmtId="0" fontId="1" fillId="4" borderId="3" applyAlignment="1" pivotButton="0" quotePrefix="0" xfId="0">
      <alignment horizontal="center" wrapText="1"/>
    </xf>
    <xf numFmtId="0" fontId="1" fillId="5" borderId="3" applyAlignment="1" pivotButton="0" quotePrefix="0" xfId="0">
      <alignment horizontal="center" wrapText="1"/>
    </xf>
    <xf numFmtId="0" fontId="1" fillId="7" borderId="0" applyAlignment="1" pivotButton="0" quotePrefix="0" xfId="0">
      <alignment horizontal="left" vertical="top"/>
    </xf>
    <xf numFmtId="0" fontId="1" fillId="5" borderId="0" applyAlignment="1" pivotButton="0" quotePrefix="0" xfId="0">
      <alignment horizontal="center" wrapText="1"/>
    </xf>
    <xf numFmtId="0" fontId="1" fillId="4" borderId="0" applyAlignment="1" pivotButton="0" quotePrefix="0" xfId="0">
      <alignment horizontal="center" wrapText="1"/>
    </xf>
    <xf numFmtId="0" fontId="0" fillId="8" borderId="0" pivotButton="0" quotePrefix="0" xfId="0"/>
    <xf numFmtId="0" fontId="0" fillId="10" borderId="0" pivotButton="0" quotePrefix="0" xfId="0"/>
    <xf numFmtId="0" fontId="0" fillId="8" borderId="7" pivotButton="0" quotePrefix="0" xfId="0"/>
    <xf numFmtId="0" fontId="0" fillId="10" borderId="7" pivotButton="0" quotePrefix="0" xfId="0"/>
    <xf numFmtId="0" fontId="0" fillId="8" borderId="8" pivotButton="0" quotePrefix="0" xfId="0"/>
    <xf numFmtId="0" fontId="0" fillId="10" borderId="8" pivotButton="0" quotePrefix="0" xfId="0"/>
    <xf numFmtId="0" fontId="0" fillId="8" borderId="5" applyAlignment="1" pivotButton="0" quotePrefix="0" xfId="0">
      <alignment horizontal="center" vertical="center"/>
    </xf>
    <xf numFmtId="0" fontId="0" fillId="8" borderId="6" applyAlignment="1" pivotButton="0" quotePrefix="0" xfId="0">
      <alignment horizontal="center" vertical="center"/>
    </xf>
    <xf numFmtId="0" fontId="0" fillId="8" borderId="9" applyAlignment="1" pivotButton="0" quotePrefix="0" xfId="0">
      <alignment horizontal="center" vertical="center"/>
    </xf>
    <xf numFmtId="0" fontId="0" fillId="12" borderId="10" applyAlignment="1" pivotButton="0" quotePrefix="0" xfId="0">
      <alignment horizontal="center"/>
    </xf>
    <xf numFmtId="0" fontId="0" fillId="12" borderId="1" applyAlignment="1" pivotButton="0" quotePrefix="0" xfId="0">
      <alignment horizontal="center"/>
    </xf>
    <xf numFmtId="0" fontId="0" fillId="12" borderId="11" applyAlignment="1" pivotButton="0" quotePrefix="0" xfId="0">
      <alignment horizontal="center"/>
    </xf>
    <xf numFmtId="0" fontId="0" fillId="0" borderId="2" pivotButton="0" quotePrefix="0" xfId="0"/>
    <xf numFmtId="0" fontId="0" fillId="12" borderId="13" applyAlignment="1" pivotButton="0" quotePrefix="0" xfId="0">
      <alignment horizontal="center"/>
    </xf>
    <xf numFmtId="0" fontId="0" fillId="0" borderId="16" pivotButton="0" quotePrefix="0" xfId="0"/>
    <xf numFmtId="0" fontId="0" fillId="0" borderId="11" pivotButton="0" quotePrefix="0" xfId="0"/>
    <xf numFmtId="0" fontId="0" fillId="8" borderId="12" applyAlignment="1" pivotButton="0" quotePrefix="0" xfId="0">
      <alignment horizontal="center" vertical="center"/>
    </xf>
    <xf numFmtId="0" fontId="0" fillId="0" borderId="6" pivotButton="0" quotePrefix="0" xfId="0"/>
    <xf numFmtId="0" fontId="0" fillId="0" borderId="9" pivotButton="0" quotePrefix="0" xfId="0"/>
  </cellXfs>
  <cellStyles count="1">
    <cellStyle name="Normal" xfId="0" builtinId="0"/>
  </cellStyles>
  <dxfs count="66">
    <dxf>
      <font>
        <b val="1"/>
        <color rgb="FFFF0000"/>
      </font>
    </dxf>
    <dxf>
      <font>
        <b val="1"/>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val="1"/>
        <color rgb="FFFF0000"/>
      </font>
    </dxf>
    <dxf>
      <font>
        <b val="1"/>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harts/chart1.xml><?xml version="1.0" encoding="utf-8"?>
<chartSpace xmlns:a="http://schemas.openxmlformats.org/drawingml/2006/main" xmlns="http://schemas.openxmlformats.org/drawingml/2006/chart">
  <chart>
    <title>
      <tx>
        <strRef>
          <f>Graphs!graph_a_title</f>
          <strCache>
            <ptCount val="1"/>
            <pt idx="0">
              <v>D1 Pointcloud-based PSNR [dB] (Graph a)</v>
            </pt>
          </strCache>
        </strRef>
      </tx>
      <overlay val="0"/>
      <txPr>
        <a:bodyPr/>
        <a:lstStyle/>
        <a:p>
          <a:pPr>
            <a:defRPr/>
          </a:pPr>
          <a:r>
            <a:t/>
          </a:r>
          <a:endParaRPr lang="en-US"/>
        </a:p>
      </txPr>
    </title>
    <plotArea>
      <layout/>
      <scatterChart>
        <scatterStyle val="smoothMarker"/>
        <varyColors val="0"/>
        <ser>
          <idx val="0"/>
          <order val="0"/>
          <tx>
            <strRef>
              <f>Graphs!graph_a_A_title</f>
              <strCache>
                <ptCount val="1"/>
                <pt idx="0">
                  <v>anchor</v>
                </pt>
              </strCache>
            </strRef>
          </tx>
          <spPr>
            <a:ln w="28575">
              <a:prstDash val="solid"/>
            </a:ln>
          </spPr>
          <marker>
            <symbol val="none"/>
            <spPr>
              <a:ln>
                <a:prstDash val="solid"/>
              </a:ln>
            </spPr>
          </marker>
          <xVal>
            <strRef>
              <f>Graphs!graph_a_x_range_A</f>
              <strCache>
                <ptCount val="5"/>
                <pt idx="0">
                  <v>·</v>
                </pt>
                <pt idx="1">
                  <v>·</v>
                </pt>
                <pt idx="2">
                  <v>·</v>
                </pt>
                <pt idx="3">
                  <v>·</v>
                </pt>
                <pt idx="4">
                  <v>·</v>
                </pt>
              </strCache>
            </strRef>
          </xVal>
          <yVal>
            <numRef>
              <f>Graphs!graph_a_y_range_A</f>
              <numCache>
                <formatCode>0.00</formatCode>
                <ptCount val="5"/>
              </numCache>
            </numRef>
          </yVal>
          <smooth val="1"/>
        </ser>
        <ser>
          <idx val="1"/>
          <order val="1"/>
          <tx>
            <strRef>
              <f>Graphs!graph_a_B_title</f>
              <strCache>
                <ptCount val="1"/>
                <pt idx="0">
                  <v>proposal</v>
                </pt>
              </strCache>
            </strRef>
          </tx>
          <spPr>
            <a:ln w="28575">
              <a:prstDash val="solid"/>
            </a:ln>
          </spPr>
          <marker>
            <symbol val="none"/>
            <spPr>
              <a:ln>
                <a:prstDash val="solid"/>
              </a:ln>
            </spPr>
          </marker>
          <xVal>
            <strRef>
              <f>Graphs!graph_a_x_range_B</f>
              <strCache>
                <ptCount val="5"/>
                <pt idx="0">
                  <v>·</v>
                </pt>
                <pt idx="1">
                  <v>·</v>
                </pt>
                <pt idx="2">
                  <v>·</v>
                </pt>
                <pt idx="3">
                  <v>·</v>
                </pt>
                <pt idx="4">
                  <v>·</v>
                </pt>
              </strCache>
            </strRef>
          </xVal>
          <yVal>
            <numRef>
              <f>Graphs!graph_a_y_range_B</f>
              <numCache>
                <formatCode>0.00</formatCode>
                <ptCount val="5"/>
              </numCache>
            </numRef>
          </yVal>
          <smooth val="1"/>
        </ser>
        <dLbls>
          <showLegendKey val="0"/>
          <showVal val="0"/>
          <showCatName val="0"/>
          <showSerName val="0"/>
          <showPercent val="0"/>
          <showBubbleSize val="0"/>
        </dLbls>
        <axId val="50010001"/>
        <axId val="50010002"/>
      </scatterChart>
      <valAx>
        <axId val="50010001"/>
        <scaling>
          <orientation val="minMax"/>
        </scaling>
        <delete val="0"/>
        <axPos val="b"/>
        <majorGridlines>
          <spPr>
            <a:ln>
              <a:solidFill>
                <a:srgbClr val="DFDFDF"/>
              </a:solidFill>
              <a:prstDash val="solid"/>
            </a:ln>
          </spPr>
        </majorGridlines>
        <title>
          <tx>
            <strRef>
              <f>Graphs!graph_a_x_title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10002"/>
        <crosses val="autoZero"/>
        <crossBetween val="midCat"/>
      </valAx>
      <valAx>
        <axId val="50010002"/>
        <scaling>
          <orientation val="minMax"/>
        </scaling>
        <delete val="0"/>
        <axPos val="l"/>
        <majorGridlines>
          <spPr>
            <a:ln>
              <a:solidFill>
                <a:srgbClr val="DFDFDF"/>
              </a:solidFill>
              <a:prstDash val="solid"/>
            </a:ln>
          </spPr>
        </majorGridlines>
        <title>
          <tx>
            <strRef>
              <f>Graphs!graph_a_y_title</f>
              <strCache>
                <ptCount val="1"/>
                <pt idx="0">
                  <v>D1 Pointcloud-based PSNR [dB]</v>
                </pt>
              </strCache>
            </strRef>
          </tx>
          <overlay val="0"/>
          <txPr>
            <a:bodyPr rot="-5400000" vert="horz"/>
            <a:lstStyle/>
            <a:p>
              <a:pPr>
                <a:defRPr/>
              </a:pPr>
              <a:r>
                <a:t/>
              </a:r>
              <a:endParaRPr lang="en-US"/>
            </a:p>
          </txPr>
        </title>
        <numFmt formatCode="0.00" sourceLinked="1"/>
        <majorTickMark val="out"/>
        <minorTickMark val="none"/>
        <tickLblPos val="nextTo"/>
        <crossAx val="50010001"/>
        <crosses val="autoZero"/>
        <crossBetween val="midCat"/>
      </valAx>
    </plotArea>
    <legend>
      <legendPos val="b"/>
      <overlay val="0"/>
    </legend>
    <plotVisOnly val="1"/>
    <dispBlanksAs val="gap"/>
  </chart>
</chartSpace>
</file>

<file path=xl/charts/chart2.xml><?xml version="1.0" encoding="utf-8"?>
<chartSpace xmlns:a="http://schemas.openxmlformats.org/drawingml/2006/main" xmlns="http://schemas.openxmlformats.org/drawingml/2006/chart">
  <chart>
    <title>
      <tx>
        <strRef>
          <f>Graphs!graph_b_title</f>
          <strCache>
            <ptCount val="1"/>
            <pt idx="0">
              <v>D2 Pointcloud-based PSNR [dB] (Graph b)</v>
            </pt>
          </strCache>
        </strRef>
      </tx>
      <overlay val="0"/>
      <txPr>
        <a:bodyPr/>
        <a:lstStyle/>
        <a:p>
          <a:pPr>
            <a:defRPr/>
          </a:pPr>
          <a:r>
            <a:t/>
          </a:r>
          <a:endParaRPr lang="en-US"/>
        </a:p>
      </txPr>
    </title>
    <plotArea>
      <layout/>
      <scatterChart>
        <scatterStyle val="smoothMarker"/>
        <varyColors val="0"/>
        <ser>
          <idx val="0"/>
          <order val="0"/>
          <tx>
            <strRef>
              <f>Graphs!graph_b_A_title</f>
              <strCache>
                <ptCount val="1"/>
                <pt idx="0">
                  <v>anchor</v>
                </pt>
              </strCache>
            </strRef>
          </tx>
          <spPr>
            <a:ln w="28575">
              <a:prstDash val="solid"/>
            </a:ln>
          </spPr>
          <marker>
            <symbol val="none"/>
            <spPr>
              <a:ln>
                <a:prstDash val="solid"/>
              </a:ln>
            </spPr>
          </marker>
          <xVal>
            <strRef>
              <f>Graphs!graph_b_x_range_A</f>
              <strCache>
                <ptCount val="5"/>
                <pt idx="0">
                  <v>·</v>
                </pt>
                <pt idx="1">
                  <v>·</v>
                </pt>
                <pt idx="2">
                  <v>·</v>
                </pt>
                <pt idx="3">
                  <v>·</v>
                </pt>
                <pt idx="4">
                  <v>·</v>
                </pt>
              </strCache>
            </strRef>
          </xVal>
          <yVal>
            <numRef>
              <f>Graphs!graph_b_y_range_A</f>
              <numCache>
                <formatCode>0.00</formatCode>
                <ptCount val="5"/>
              </numCache>
            </numRef>
          </yVal>
          <smooth val="1"/>
        </ser>
        <ser>
          <idx val="1"/>
          <order val="1"/>
          <tx>
            <strRef>
              <f>Graphs!graph_b_B_title</f>
              <strCache>
                <ptCount val="1"/>
                <pt idx="0">
                  <v>proposal</v>
                </pt>
              </strCache>
            </strRef>
          </tx>
          <spPr>
            <a:ln w="28575">
              <a:prstDash val="solid"/>
            </a:ln>
          </spPr>
          <marker>
            <symbol val="none"/>
            <spPr>
              <a:ln>
                <a:prstDash val="solid"/>
              </a:ln>
            </spPr>
          </marker>
          <xVal>
            <strRef>
              <f>Graphs!graph_b_x_range_B</f>
              <strCache>
                <ptCount val="5"/>
                <pt idx="0">
                  <v>·</v>
                </pt>
                <pt idx="1">
                  <v>·</v>
                </pt>
                <pt idx="2">
                  <v>·</v>
                </pt>
                <pt idx="3">
                  <v>·</v>
                </pt>
                <pt idx="4">
                  <v>·</v>
                </pt>
              </strCache>
            </strRef>
          </xVal>
          <yVal>
            <numRef>
              <f>Graphs!graph_b_y_range_B</f>
              <numCache>
                <formatCode>0.00</formatCode>
                <ptCount val="5"/>
              </numCache>
            </numRef>
          </yVal>
          <smooth val="1"/>
        </ser>
        <dLbls>
          <showLegendKey val="0"/>
          <showVal val="0"/>
          <showCatName val="0"/>
          <showSerName val="0"/>
          <showPercent val="0"/>
          <showBubbleSize val="0"/>
        </dLbls>
        <axId val="50020001"/>
        <axId val="50020002"/>
      </scatterChart>
      <valAx>
        <axId val="50020001"/>
        <scaling>
          <orientation val="minMax"/>
        </scaling>
        <delete val="0"/>
        <axPos val="b"/>
        <majorGridlines>
          <spPr>
            <a:ln>
              <a:solidFill>
                <a:srgbClr val="DFDFDF"/>
              </a:solidFill>
              <a:prstDash val="solid"/>
            </a:ln>
          </spPr>
        </majorGridlines>
        <title>
          <tx>
            <strRef>
              <f>Graphs!graph_b_x_title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20002"/>
        <crosses val="autoZero"/>
        <crossBetween val="midCat"/>
      </valAx>
      <valAx>
        <axId val="50020002"/>
        <scaling>
          <orientation val="minMax"/>
        </scaling>
        <delete val="0"/>
        <axPos val="l"/>
        <majorGridlines>
          <spPr>
            <a:ln>
              <a:solidFill>
                <a:srgbClr val="DFDFDF"/>
              </a:solidFill>
              <a:prstDash val="solid"/>
            </a:ln>
          </spPr>
        </majorGridlines>
        <title>
          <tx>
            <strRef>
              <f>Graphs!graph_b_y_title</f>
              <strCache>
                <ptCount val="1"/>
                <pt idx="0">
                  <v>D2 Pointcloud-based PSNR [dB]</v>
                </pt>
              </strCache>
            </strRef>
          </tx>
          <overlay val="0"/>
          <txPr>
            <a:bodyPr rot="-5400000" vert="horz"/>
            <a:lstStyle/>
            <a:p>
              <a:pPr>
                <a:defRPr/>
              </a:pPr>
              <a:r>
                <a:t/>
              </a:r>
              <a:endParaRPr lang="en-US"/>
            </a:p>
          </txPr>
        </title>
        <numFmt formatCode="0.00" sourceLinked="1"/>
        <majorTickMark val="out"/>
        <minorTickMark val="none"/>
        <tickLblPos val="nextTo"/>
        <crossAx val="50020001"/>
        <crosses val="autoZero"/>
        <crossBetween val="midCat"/>
      </valAx>
    </plotArea>
    <legend>
      <legendPos val="b"/>
      <overlay val="0"/>
    </legend>
    <plotVisOnly val="1"/>
    <dispBlanksAs val="gap"/>
  </chart>
</chartSpace>
</file>

<file path=xl/charts/chart3.xml><?xml version="1.0" encoding="utf-8"?>
<chartSpace xmlns:a="http://schemas.openxmlformats.org/drawingml/2006/main" xmlns="http://schemas.openxmlformats.org/drawingml/2006/chart">
  <chart>
    <title>
      <tx>
        <strRef>
          <f>Graphs!graph_c_title</f>
          <strCache>
            <ptCount val="1"/>
            <pt idx="0">
              <v>Geom Image-based PSNR [dB] (Graph c)</v>
            </pt>
          </strCache>
        </strRef>
      </tx>
      <overlay val="0"/>
      <txPr>
        <a:bodyPr/>
        <a:lstStyle/>
        <a:p>
          <a:pPr>
            <a:defRPr/>
          </a:pPr>
          <a:r>
            <a:t/>
          </a:r>
          <a:endParaRPr lang="en-US"/>
        </a:p>
      </txPr>
    </title>
    <plotArea>
      <layout/>
      <scatterChart>
        <scatterStyle val="smoothMarker"/>
        <varyColors val="0"/>
        <ser>
          <idx val="0"/>
          <order val="0"/>
          <tx>
            <strRef>
              <f>Graphs!graph_c_A_title</f>
              <strCache>
                <ptCount val="1"/>
                <pt idx="0">
                  <v>anchor</v>
                </pt>
              </strCache>
            </strRef>
          </tx>
          <spPr>
            <a:ln w="28575">
              <a:prstDash val="solid"/>
            </a:ln>
          </spPr>
          <marker>
            <symbol val="none"/>
            <spPr>
              <a:ln>
                <a:prstDash val="solid"/>
              </a:ln>
            </spPr>
          </marker>
          <xVal>
            <strRef>
              <f>Graphs!graph_c_x_range_A</f>
              <strCache>
                <ptCount val="5"/>
                <pt idx="0">
                  <v>·</v>
                </pt>
                <pt idx="1">
                  <v>·</v>
                </pt>
                <pt idx="2">
                  <v>·</v>
                </pt>
                <pt idx="3">
                  <v>·</v>
                </pt>
                <pt idx="4">
                  <v>·</v>
                </pt>
              </strCache>
            </strRef>
          </xVal>
          <yVal>
            <numRef>
              <f>Graphs!graph_c_y_range_A</f>
              <numCache>
                <formatCode>0.00</formatCode>
                <ptCount val="5"/>
              </numCache>
            </numRef>
          </yVal>
          <smooth val="1"/>
        </ser>
        <ser>
          <idx val="1"/>
          <order val="1"/>
          <tx>
            <strRef>
              <f>Graphs!graph_c_B_title</f>
              <strCache>
                <ptCount val="1"/>
                <pt idx="0">
                  <v>proposal</v>
                </pt>
              </strCache>
            </strRef>
          </tx>
          <spPr>
            <a:ln w="28575">
              <a:prstDash val="solid"/>
            </a:ln>
          </spPr>
          <marker>
            <symbol val="none"/>
            <spPr>
              <a:ln>
                <a:prstDash val="solid"/>
              </a:ln>
            </spPr>
          </marker>
          <xVal>
            <strRef>
              <f>Graphs!graph_c_x_range_B</f>
              <strCache>
                <ptCount val="5"/>
                <pt idx="0">
                  <v>·</v>
                </pt>
                <pt idx="1">
                  <v>·</v>
                </pt>
                <pt idx="2">
                  <v>·</v>
                </pt>
                <pt idx="3">
                  <v>·</v>
                </pt>
                <pt idx="4">
                  <v>·</v>
                </pt>
              </strCache>
            </strRef>
          </xVal>
          <yVal>
            <numRef>
              <f>Graphs!graph_c_y_range_B</f>
              <numCache>
                <formatCode>0.00</formatCode>
                <ptCount val="5"/>
              </numCache>
            </numRef>
          </yVal>
          <smooth val="1"/>
        </ser>
        <dLbls>
          <showLegendKey val="0"/>
          <showVal val="0"/>
          <showCatName val="0"/>
          <showSerName val="0"/>
          <showPercent val="0"/>
          <showBubbleSize val="0"/>
        </dLbls>
        <axId val="50030001"/>
        <axId val="50030002"/>
      </scatterChart>
      <valAx>
        <axId val="50030001"/>
        <scaling>
          <orientation val="minMax"/>
        </scaling>
        <delete val="0"/>
        <axPos val="b"/>
        <majorGridlines>
          <spPr>
            <a:ln>
              <a:solidFill>
                <a:srgbClr val="DFDFDF"/>
              </a:solidFill>
              <a:prstDash val="solid"/>
            </a:ln>
          </spPr>
        </majorGridlines>
        <title>
          <tx>
            <strRef>
              <f>Graphs!graph_c_x_title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30002"/>
        <crosses val="autoZero"/>
        <crossBetween val="midCat"/>
      </valAx>
      <valAx>
        <axId val="50030002"/>
        <scaling>
          <orientation val="minMax"/>
        </scaling>
        <delete val="0"/>
        <axPos val="l"/>
        <majorGridlines>
          <spPr>
            <a:ln>
              <a:solidFill>
                <a:srgbClr val="DFDFDF"/>
              </a:solidFill>
              <a:prstDash val="solid"/>
            </a:ln>
          </spPr>
        </majorGridlines>
        <title>
          <tx>
            <strRef>
              <f>Graphs!graph_c_y_title</f>
              <strCache>
                <ptCount val="1"/>
                <pt idx="0">
                  <v>Geom Image-based PSNR [dB]</v>
                </pt>
              </strCache>
            </strRef>
          </tx>
          <overlay val="0"/>
          <txPr>
            <a:bodyPr rot="-5400000" vert="horz"/>
            <a:lstStyle/>
            <a:p>
              <a:pPr>
                <a:defRPr/>
              </a:pPr>
              <a:r>
                <a:t/>
              </a:r>
              <a:endParaRPr lang="en-US"/>
            </a:p>
          </txPr>
        </title>
        <numFmt formatCode="0.00" sourceLinked="1"/>
        <majorTickMark val="out"/>
        <minorTickMark val="none"/>
        <tickLblPos val="nextTo"/>
        <crossAx val="50030001"/>
        <crosses val="autoZero"/>
        <crossBetween val="midCat"/>
      </valAx>
    </plotArea>
    <legend>
      <legendPos val="b"/>
      <overlay val="0"/>
    </legend>
    <plotVisOnly val="1"/>
    <dispBlanksAs val="gap"/>
  </chart>
</chartSpace>
</file>

<file path=xl/charts/chart4.xml><?xml version="1.0" encoding="utf-8"?>
<chartSpace xmlns:a="http://schemas.openxmlformats.org/drawingml/2006/main" xmlns="http://schemas.openxmlformats.org/drawingml/2006/chart">
  <chart>
    <title>
      <tx>
        <strRef>
          <f>Graphs!graph_d_title</f>
          <strCache>
            <ptCount val="1"/>
            <pt idx="0">
              <v>Luma Pointcloud-based PSNR [dB] (Graph d)</v>
            </pt>
          </strCache>
        </strRef>
      </tx>
      <overlay val="0"/>
      <txPr>
        <a:bodyPr/>
        <a:lstStyle/>
        <a:p>
          <a:pPr>
            <a:defRPr/>
          </a:pPr>
          <a:r>
            <a:t/>
          </a:r>
          <a:endParaRPr lang="en-US"/>
        </a:p>
      </txPr>
    </title>
    <plotArea>
      <layout/>
      <scatterChart>
        <scatterStyle val="smoothMarker"/>
        <varyColors val="0"/>
        <ser>
          <idx val="0"/>
          <order val="0"/>
          <tx>
            <strRef>
              <f>Graphs!graph_d_A_title</f>
              <strCache>
                <ptCount val="1"/>
                <pt idx="0">
                  <v>anchor</v>
                </pt>
              </strCache>
            </strRef>
          </tx>
          <spPr>
            <a:ln w="28575">
              <a:prstDash val="solid"/>
            </a:ln>
          </spPr>
          <marker>
            <symbol val="none"/>
            <spPr>
              <a:ln>
                <a:prstDash val="solid"/>
              </a:ln>
            </spPr>
          </marker>
          <xVal>
            <strRef>
              <f>Graphs!graph_d_x_range_A</f>
              <strCache>
                <ptCount val="5"/>
                <pt idx="0">
                  <v>·</v>
                </pt>
                <pt idx="1">
                  <v>·</v>
                </pt>
                <pt idx="2">
                  <v>·</v>
                </pt>
                <pt idx="3">
                  <v>·</v>
                </pt>
                <pt idx="4">
                  <v>·</v>
                </pt>
              </strCache>
            </strRef>
          </xVal>
          <yVal>
            <numRef>
              <f>Graphs!graph_d_y_range_A</f>
              <numCache>
                <formatCode>0.00</formatCode>
                <ptCount val="5"/>
              </numCache>
            </numRef>
          </yVal>
          <smooth val="1"/>
        </ser>
        <ser>
          <idx val="1"/>
          <order val="1"/>
          <tx>
            <strRef>
              <f>Graphs!graph_d_B_title</f>
              <strCache>
                <ptCount val="1"/>
                <pt idx="0">
                  <v>proposal</v>
                </pt>
              </strCache>
            </strRef>
          </tx>
          <spPr>
            <a:ln w="28575">
              <a:prstDash val="solid"/>
            </a:ln>
          </spPr>
          <marker>
            <symbol val="none"/>
            <spPr>
              <a:ln>
                <a:prstDash val="solid"/>
              </a:ln>
            </spPr>
          </marker>
          <xVal>
            <strRef>
              <f>Graphs!graph_d_x_range_B</f>
              <strCache>
                <ptCount val="5"/>
                <pt idx="0">
                  <v>·</v>
                </pt>
                <pt idx="1">
                  <v>·</v>
                </pt>
                <pt idx="2">
                  <v>·</v>
                </pt>
                <pt idx="3">
                  <v>·</v>
                </pt>
                <pt idx="4">
                  <v>·</v>
                </pt>
              </strCache>
            </strRef>
          </xVal>
          <yVal>
            <numRef>
              <f>Graphs!graph_d_y_range_B</f>
              <numCache>
                <formatCode>0.00</formatCode>
                <ptCount val="5"/>
              </numCache>
            </numRef>
          </yVal>
          <smooth val="1"/>
        </ser>
        <dLbls>
          <showLegendKey val="0"/>
          <showVal val="0"/>
          <showCatName val="0"/>
          <showSerName val="0"/>
          <showPercent val="0"/>
          <showBubbleSize val="0"/>
        </dLbls>
        <axId val="50040001"/>
        <axId val="50040002"/>
      </scatterChart>
      <valAx>
        <axId val="50040001"/>
        <scaling>
          <orientation val="minMax"/>
        </scaling>
        <delete val="0"/>
        <axPos val="b"/>
        <majorGridlines>
          <spPr>
            <a:ln>
              <a:solidFill>
                <a:srgbClr val="DFDFDF"/>
              </a:solidFill>
              <a:prstDash val="solid"/>
            </a:ln>
          </spPr>
        </majorGridlines>
        <title>
          <tx>
            <strRef>
              <f>Graphs!graph_d_x_title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40002"/>
        <crosses val="autoZero"/>
        <crossBetween val="midCat"/>
      </valAx>
      <valAx>
        <axId val="50040002"/>
        <scaling>
          <orientation val="minMax"/>
        </scaling>
        <delete val="0"/>
        <axPos val="l"/>
        <majorGridlines>
          <spPr>
            <a:ln>
              <a:solidFill>
                <a:srgbClr val="DFDFDF"/>
              </a:solidFill>
              <a:prstDash val="solid"/>
            </a:ln>
          </spPr>
        </majorGridlines>
        <title>
          <tx>
            <strRef>
              <f>Graphs!graph_d_y_title</f>
              <strCache>
                <ptCount val="1"/>
                <pt idx="0">
                  <v>Luma Pointcloud-based PSNR [dB]</v>
                </pt>
              </strCache>
            </strRef>
          </tx>
          <overlay val="0"/>
          <txPr>
            <a:bodyPr rot="-5400000" vert="horz"/>
            <a:lstStyle/>
            <a:p>
              <a:pPr>
                <a:defRPr/>
              </a:pPr>
              <a:r>
                <a:t/>
              </a:r>
              <a:endParaRPr lang="en-US"/>
            </a:p>
          </txPr>
        </title>
        <numFmt formatCode="0.00" sourceLinked="1"/>
        <majorTickMark val="out"/>
        <minorTickMark val="none"/>
        <tickLblPos val="nextTo"/>
        <crossAx val="50040001"/>
        <crosses val="autoZero"/>
        <crossBetween val="midCat"/>
      </valAx>
    </plotArea>
    <legend>
      <legendPos val="b"/>
      <overlay val="0"/>
    </legend>
    <plotVisOnly val="1"/>
    <dispBlanksAs val="gap"/>
  </chart>
</chartSpace>
</file>

<file path=xl/charts/chart5.xml><?xml version="1.0" encoding="utf-8"?>
<chartSpace xmlns:a="http://schemas.openxmlformats.org/drawingml/2006/main" xmlns="http://schemas.openxmlformats.org/drawingml/2006/chart">
  <chart>
    <title>
      <tx>
        <strRef>
          <f>Graphs!graph_e_title</f>
          <strCache>
            <ptCount val="1"/>
            <pt idx="0">
              <v>Chroma Cb Pointcloud-based PSNR [dB] (Graph e)</v>
            </pt>
          </strCache>
        </strRef>
      </tx>
      <overlay val="0"/>
      <txPr>
        <a:bodyPr/>
        <a:lstStyle/>
        <a:p>
          <a:pPr>
            <a:defRPr/>
          </a:pPr>
          <a:r>
            <a:t/>
          </a:r>
          <a:endParaRPr lang="en-US"/>
        </a:p>
      </txPr>
    </title>
    <plotArea>
      <layout/>
      <scatterChart>
        <scatterStyle val="smoothMarker"/>
        <varyColors val="0"/>
        <ser>
          <idx val="0"/>
          <order val="0"/>
          <tx>
            <strRef>
              <f>Graphs!graph_e_A_title</f>
              <strCache>
                <ptCount val="1"/>
                <pt idx="0">
                  <v>anchor</v>
                </pt>
              </strCache>
            </strRef>
          </tx>
          <spPr>
            <a:ln w="28575">
              <a:prstDash val="solid"/>
            </a:ln>
          </spPr>
          <marker>
            <symbol val="none"/>
            <spPr>
              <a:ln>
                <a:prstDash val="solid"/>
              </a:ln>
            </spPr>
          </marker>
          <xVal>
            <strRef>
              <f>Graphs!graph_e_x_range_A</f>
              <strCache>
                <ptCount val="5"/>
                <pt idx="0">
                  <v>·</v>
                </pt>
                <pt idx="1">
                  <v>·</v>
                </pt>
                <pt idx="2">
                  <v>·</v>
                </pt>
                <pt idx="3">
                  <v>·</v>
                </pt>
                <pt idx="4">
                  <v>·</v>
                </pt>
              </strCache>
            </strRef>
          </xVal>
          <yVal>
            <numRef>
              <f>Graphs!graph_e_y_range_A</f>
              <numCache>
                <formatCode>0.00</formatCode>
                <ptCount val="5"/>
              </numCache>
            </numRef>
          </yVal>
          <smooth val="1"/>
        </ser>
        <ser>
          <idx val="1"/>
          <order val="1"/>
          <tx>
            <strRef>
              <f>Graphs!graph_e_B_title</f>
              <strCache>
                <ptCount val="1"/>
                <pt idx="0">
                  <v>proposal</v>
                </pt>
              </strCache>
            </strRef>
          </tx>
          <spPr>
            <a:ln w="28575">
              <a:prstDash val="solid"/>
            </a:ln>
          </spPr>
          <marker>
            <symbol val="none"/>
            <spPr>
              <a:ln>
                <a:prstDash val="solid"/>
              </a:ln>
            </spPr>
          </marker>
          <xVal>
            <strRef>
              <f>Graphs!graph_e_x_range_B</f>
              <strCache>
                <ptCount val="5"/>
                <pt idx="0">
                  <v>·</v>
                </pt>
                <pt idx="1">
                  <v>·</v>
                </pt>
                <pt idx="2">
                  <v>·</v>
                </pt>
                <pt idx="3">
                  <v>·</v>
                </pt>
                <pt idx="4">
                  <v>·</v>
                </pt>
              </strCache>
            </strRef>
          </xVal>
          <yVal>
            <numRef>
              <f>Graphs!graph_e_y_range_B</f>
              <numCache>
                <formatCode>0.00</formatCode>
                <ptCount val="5"/>
              </numCache>
            </numRef>
          </yVal>
          <smooth val="1"/>
        </ser>
        <dLbls>
          <showLegendKey val="0"/>
          <showVal val="0"/>
          <showCatName val="0"/>
          <showSerName val="0"/>
          <showPercent val="0"/>
          <showBubbleSize val="0"/>
        </dLbls>
        <axId val="50050001"/>
        <axId val="50050002"/>
      </scatterChart>
      <valAx>
        <axId val="50050001"/>
        <scaling>
          <orientation val="minMax"/>
        </scaling>
        <delete val="0"/>
        <axPos val="b"/>
        <majorGridlines>
          <spPr>
            <a:ln>
              <a:solidFill>
                <a:srgbClr val="DFDFDF"/>
              </a:solidFill>
              <a:prstDash val="solid"/>
            </a:ln>
          </spPr>
        </majorGridlines>
        <title>
          <tx>
            <strRef>
              <f>Graphs!graph_e_x_title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50002"/>
        <crosses val="autoZero"/>
        <crossBetween val="midCat"/>
      </valAx>
      <valAx>
        <axId val="50050002"/>
        <scaling>
          <orientation val="minMax"/>
        </scaling>
        <delete val="0"/>
        <axPos val="l"/>
        <majorGridlines>
          <spPr>
            <a:ln>
              <a:solidFill>
                <a:srgbClr val="DFDFDF"/>
              </a:solidFill>
              <a:prstDash val="solid"/>
            </a:ln>
          </spPr>
        </majorGridlines>
        <title>
          <tx>
            <strRef>
              <f>Graphs!graph_e_y_title</f>
              <strCache>
                <ptCount val="1"/>
                <pt idx="0">
                  <v>Chroma Cb Pointcloud-based PSNR [dB]</v>
                </pt>
              </strCache>
            </strRef>
          </tx>
          <overlay val="0"/>
          <txPr>
            <a:bodyPr rot="-5400000" vert="horz"/>
            <a:lstStyle/>
            <a:p>
              <a:pPr>
                <a:defRPr/>
              </a:pPr>
              <a:r>
                <a:t/>
              </a:r>
              <a:endParaRPr lang="en-US"/>
            </a:p>
          </txPr>
        </title>
        <numFmt formatCode="0.00" sourceLinked="1"/>
        <majorTickMark val="out"/>
        <minorTickMark val="none"/>
        <tickLblPos val="nextTo"/>
        <crossAx val="50050001"/>
        <crosses val="autoZero"/>
        <crossBetween val="midCat"/>
      </valAx>
    </plotArea>
    <legend>
      <legendPos val="b"/>
      <overlay val="0"/>
    </legend>
    <plotVisOnly val="1"/>
    <dispBlanksAs val="gap"/>
  </chart>
</chartSpace>
</file>

<file path=xl/charts/chart6.xml><?xml version="1.0" encoding="utf-8"?>
<chartSpace xmlns:a="http://schemas.openxmlformats.org/drawingml/2006/main" xmlns="http://schemas.openxmlformats.org/drawingml/2006/chart">
  <chart>
    <title>
      <tx>
        <strRef>
          <f>Graphs!graph_f_title</f>
          <strCache>
            <ptCount val="1"/>
            <pt idx="0">
              <v>Chroma Cr Pointcloud-based PSNR [dB] (Graph f)</v>
            </pt>
          </strCache>
        </strRef>
      </tx>
      <overlay val="0"/>
      <txPr>
        <a:bodyPr/>
        <a:lstStyle/>
        <a:p>
          <a:pPr>
            <a:defRPr/>
          </a:pPr>
          <a:r>
            <a:t/>
          </a:r>
          <a:endParaRPr lang="en-US"/>
        </a:p>
      </txPr>
    </title>
    <plotArea>
      <layout/>
      <scatterChart>
        <scatterStyle val="smoothMarker"/>
        <varyColors val="0"/>
        <ser>
          <idx val="0"/>
          <order val="0"/>
          <tx>
            <strRef>
              <f>Graphs!graph_f_A_title</f>
              <strCache>
                <ptCount val="1"/>
                <pt idx="0">
                  <v>anchor</v>
                </pt>
              </strCache>
            </strRef>
          </tx>
          <spPr>
            <a:ln w="28575">
              <a:prstDash val="solid"/>
            </a:ln>
          </spPr>
          <marker>
            <symbol val="none"/>
            <spPr>
              <a:ln>
                <a:prstDash val="solid"/>
              </a:ln>
            </spPr>
          </marker>
          <xVal>
            <strRef>
              <f>Graphs!graph_f_x_range_A</f>
              <strCache>
                <ptCount val="5"/>
                <pt idx="0">
                  <v>·</v>
                </pt>
                <pt idx="1">
                  <v>·</v>
                </pt>
                <pt idx="2">
                  <v>·</v>
                </pt>
                <pt idx="3">
                  <v>·</v>
                </pt>
                <pt idx="4">
                  <v>·</v>
                </pt>
              </strCache>
            </strRef>
          </xVal>
          <yVal>
            <numRef>
              <f>Graphs!graph_f_y_range_A</f>
              <numCache>
                <formatCode>0.00</formatCode>
                <ptCount val="5"/>
              </numCache>
            </numRef>
          </yVal>
          <smooth val="1"/>
        </ser>
        <ser>
          <idx val="1"/>
          <order val="1"/>
          <tx>
            <strRef>
              <f>Graphs!graph_f_B_title</f>
              <strCache>
                <ptCount val="1"/>
                <pt idx="0">
                  <v>proposal</v>
                </pt>
              </strCache>
            </strRef>
          </tx>
          <spPr>
            <a:ln w="28575">
              <a:prstDash val="solid"/>
            </a:ln>
          </spPr>
          <marker>
            <symbol val="none"/>
            <spPr>
              <a:ln>
                <a:prstDash val="solid"/>
              </a:ln>
            </spPr>
          </marker>
          <xVal>
            <strRef>
              <f>Graphs!graph_f_x_range_B</f>
              <strCache>
                <ptCount val="5"/>
                <pt idx="0">
                  <v>·</v>
                </pt>
                <pt idx="1">
                  <v>·</v>
                </pt>
                <pt idx="2">
                  <v>·</v>
                </pt>
                <pt idx="3">
                  <v>·</v>
                </pt>
                <pt idx="4">
                  <v>·</v>
                </pt>
              </strCache>
            </strRef>
          </xVal>
          <yVal>
            <numRef>
              <f>Graphs!graph_f_y_range_B</f>
              <numCache>
                <formatCode>0.00</formatCode>
                <ptCount val="5"/>
              </numCache>
            </numRef>
          </yVal>
          <smooth val="1"/>
        </ser>
        <dLbls>
          <showLegendKey val="0"/>
          <showVal val="0"/>
          <showCatName val="0"/>
          <showSerName val="0"/>
          <showPercent val="0"/>
          <showBubbleSize val="0"/>
        </dLbls>
        <axId val="50060001"/>
        <axId val="50060002"/>
      </scatterChart>
      <valAx>
        <axId val="50060001"/>
        <scaling>
          <orientation val="minMax"/>
        </scaling>
        <delete val="0"/>
        <axPos val="b"/>
        <majorGridlines>
          <spPr>
            <a:ln>
              <a:solidFill>
                <a:srgbClr val="DFDFDF"/>
              </a:solidFill>
              <a:prstDash val="solid"/>
            </a:ln>
          </spPr>
        </majorGridlines>
        <title>
          <tx>
            <strRef>
              <f>Graphs!graph_f_x_title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60002"/>
        <crosses val="autoZero"/>
        <crossBetween val="midCat"/>
      </valAx>
      <valAx>
        <axId val="50060002"/>
        <scaling>
          <orientation val="minMax"/>
        </scaling>
        <delete val="0"/>
        <axPos val="l"/>
        <majorGridlines>
          <spPr>
            <a:ln>
              <a:solidFill>
                <a:srgbClr val="DFDFDF"/>
              </a:solidFill>
              <a:prstDash val="solid"/>
            </a:ln>
          </spPr>
        </majorGridlines>
        <title>
          <tx>
            <strRef>
              <f>Graphs!graph_f_y_title</f>
              <strCache>
                <ptCount val="1"/>
                <pt idx="0">
                  <v>Chroma Cr Pointcloud-based PSNR [dB]</v>
                </pt>
              </strCache>
            </strRef>
          </tx>
          <overlay val="0"/>
          <txPr>
            <a:bodyPr rot="-5400000" vert="horz"/>
            <a:lstStyle/>
            <a:p>
              <a:pPr>
                <a:defRPr/>
              </a:pPr>
              <a:r>
                <a:t/>
              </a:r>
              <a:endParaRPr lang="en-US"/>
            </a:p>
          </txPr>
        </title>
        <numFmt formatCode="0.00" sourceLinked="1"/>
        <majorTickMark val="out"/>
        <minorTickMark val="none"/>
        <tickLblPos val="nextTo"/>
        <crossAx val="50060001"/>
        <crosses val="autoZero"/>
        <crossBetween val="midCat"/>
      </valAx>
    </plotArea>
    <legend>
      <legendPos val="b"/>
      <overlay val="0"/>
    </legend>
    <plotVisOnly val="1"/>
    <dispBlanksAs val="gap"/>
  </chart>
</chartSpace>
</file>

<file path=xl/charts/chart7.xml><?xml version="1.0" encoding="utf-8"?>
<chartSpace xmlns:a="http://schemas.openxmlformats.org/drawingml/2006/main" xmlns="http://schemas.openxmlformats.org/drawingml/2006/chart">
  <chart>
    <title>
      <tx>
        <strRef>
          <f>Graphs!graph_g_title</f>
          <strCache>
            <ptCount val="1"/>
            <pt idx="0">
              <v>Luma Image-based PSNR [dB] (Graph g)</v>
            </pt>
          </strCache>
        </strRef>
      </tx>
      <overlay val="0"/>
      <txPr>
        <a:bodyPr/>
        <a:lstStyle/>
        <a:p>
          <a:pPr>
            <a:defRPr/>
          </a:pPr>
          <a:r>
            <a:t/>
          </a:r>
          <a:endParaRPr lang="en-US"/>
        </a:p>
      </txPr>
    </title>
    <plotArea>
      <layout/>
      <scatterChart>
        <scatterStyle val="smoothMarker"/>
        <varyColors val="0"/>
        <ser>
          <idx val="0"/>
          <order val="0"/>
          <tx>
            <strRef>
              <f>Graphs!graph_g_A_title</f>
              <strCache>
                <ptCount val="1"/>
                <pt idx="0">
                  <v>anchor</v>
                </pt>
              </strCache>
            </strRef>
          </tx>
          <spPr>
            <a:ln w="28575">
              <a:prstDash val="solid"/>
            </a:ln>
          </spPr>
          <marker>
            <symbol val="none"/>
            <spPr>
              <a:ln>
                <a:prstDash val="solid"/>
              </a:ln>
            </spPr>
          </marker>
          <xVal>
            <strRef>
              <f>Graphs!graph_g_x_range_A</f>
              <strCache>
                <ptCount val="5"/>
                <pt idx="0">
                  <v>·</v>
                </pt>
                <pt idx="1">
                  <v>·</v>
                </pt>
                <pt idx="2">
                  <v>·</v>
                </pt>
                <pt idx="3">
                  <v>·</v>
                </pt>
                <pt idx="4">
                  <v>·</v>
                </pt>
              </strCache>
            </strRef>
          </xVal>
          <yVal>
            <numRef>
              <f>Graphs!graph_g_y_range_A</f>
              <numCache>
                <formatCode>0.00</formatCode>
                <ptCount val="5"/>
              </numCache>
            </numRef>
          </yVal>
          <smooth val="1"/>
        </ser>
        <ser>
          <idx val="1"/>
          <order val="1"/>
          <tx>
            <strRef>
              <f>Graphs!graph_g_B_title</f>
              <strCache>
                <ptCount val="1"/>
                <pt idx="0">
                  <v>proposal</v>
                </pt>
              </strCache>
            </strRef>
          </tx>
          <spPr>
            <a:ln w="28575">
              <a:prstDash val="solid"/>
            </a:ln>
          </spPr>
          <marker>
            <symbol val="none"/>
            <spPr>
              <a:ln>
                <a:prstDash val="solid"/>
              </a:ln>
            </spPr>
          </marker>
          <xVal>
            <strRef>
              <f>Graphs!graph_g_x_range_B</f>
              <strCache>
                <ptCount val="5"/>
                <pt idx="0">
                  <v>·</v>
                </pt>
                <pt idx="1">
                  <v>·</v>
                </pt>
                <pt idx="2">
                  <v>·</v>
                </pt>
                <pt idx="3">
                  <v>·</v>
                </pt>
                <pt idx="4">
                  <v>·</v>
                </pt>
              </strCache>
            </strRef>
          </xVal>
          <yVal>
            <numRef>
              <f>Graphs!graph_g_y_range_B</f>
              <numCache>
                <formatCode>0.00</formatCode>
                <ptCount val="5"/>
              </numCache>
            </numRef>
          </yVal>
          <smooth val="1"/>
        </ser>
        <dLbls>
          <showLegendKey val="0"/>
          <showVal val="0"/>
          <showCatName val="0"/>
          <showSerName val="0"/>
          <showPercent val="0"/>
          <showBubbleSize val="0"/>
        </dLbls>
        <axId val="50070001"/>
        <axId val="50070002"/>
      </scatterChart>
      <valAx>
        <axId val="50070001"/>
        <scaling>
          <orientation val="minMax"/>
        </scaling>
        <delete val="0"/>
        <axPos val="b"/>
        <majorGridlines>
          <spPr>
            <a:ln>
              <a:solidFill>
                <a:srgbClr val="DFDFDF"/>
              </a:solidFill>
              <a:prstDash val="solid"/>
            </a:ln>
          </spPr>
        </majorGridlines>
        <title>
          <tx>
            <strRef>
              <f>Graphs!graph_g_x_title</f>
              <strCache>
                <ptCount val="1"/>
                <pt idx="0">
                  <v>Rate [Mbps]</v>
                </pt>
              </strCache>
            </strRef>
          </tx>
          <overlay val="0"/>
          <txPr>
            <a:bodyPr/>
            <a:lstStyle/>
            <a:p>
              <a:pPr>
                <a:defRPr/>
              </a:pPr>
              <a:r>
                <a:t/>
              </a:r>
              <a:endParaRPr lang="en-US"/>
            </a:p>
          </txPr>
        </title>
        <numFmt formatCode="0.000" sourceLinked="1"/>
        <majorTickMark val="out"/>
        <minorTickMark val="none"/>
        <tickLblPos val="nextTo"/>
        <crossAx val="50070002"/>
        <crosses val="autoZero"/>
        <crossBetween val="midCat"/>
      </valAx>
      <valAx>
        <axId val="50070002"/>
        <scaling>
          <orientation val="minMax"/>
        </scaling>
        <delete val="0"/>
        <axPos val="l"/>
        <majorGridlines>
          <spPr>
            <a:ln>
              <a:solidFill>
                <a:srgbClr val="DFDFDF"/>
              </a:solidFill>
              <a:prstDash val="solid"/>
            </a:ln>
          </spPr>
        </majorGridlines>
        <title>
          <tx>
            <strRef>
              <f>Graphs!graph_g_y_title</f>
              <strCache>
                <ptCount val="1"/>
                <pt idx="0">
                  <v>Luma Image-based PSNR [dB]</v>
                </pt>
              </strCache>
            </strRef>
          </tx>
          <overlay val="0"/>
          <txPr>
            <a:bodyPr rot="-5400000" vert="horz"/>
            <a:lstStyle/>
            <a:p>
              <a:pPr>
                <a:defRPr/>
              </a:pPr>
              <a:r>
                <a:t/>
              </a:r>
              <a:endParaRPr lang="en-US"/>
            </a:p>
          </txPr>
        </title>
        <numFmt formatCode="0.00" sourceLinked="1"/>
        <majorTickMark val="out"/>
        <minorTickMark val="none"/>
        <tickLblPos val="nextTo"/>
        <crossAx val="50070001"/>
        <crosses val="autoZero"/>
        <crossBetween val="midCat"/>
      </valAx>
    </plotArea>
    <legend>
      <legendPos val="b"/>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 Type="http://schemas.openxmlformats.org/officeDocument/2006/relationships/chart" Target="/xl/charts/chart6.xml" Id="rId6" /><Relationship Type="http://schemas.openxmlformats.org/officeDocument/2006/relationships/chart" Target="/xl/charts/chart7.xml" Id="rId7"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0</colOff>
      <row>11</row>
      <rowOff>0</rowOff>
    </from>
    <to>
      <col>7</col>
      <colOff>276225</colOff>
      <row>32</row>
      <rowOff>114300</rowOff>
    </to>
    <graphicFrame>
      <nvGraphicFramePr>
        <cNvPr id="1" name="Chart 1"/>
        <cNvGraphicFramePr/>
      </nvGraphicFramePr>
      <xfrm/>
      <a:graphic>
        <a:graphicData uri="http://schemas.openxmlformats.org/drawingml/2006/chart">
          <c:chart r:id="rId1"/>
        </a:graphicData>
      </a:graphic>
    </graphicFrame>
    <clientData/>
  </twoCellAnchor>
  <twoCellAnchor>
    <from>
      <col>0</col>
      <colOff>0</colOff>
      <row>33</row>
      <rowOff>0</rowOff>
    </from>
    <to>
      <col>7</col>
      <colOff>276225</colOff>
      <row>54</row>
      <rowOff>114300</rowOff>
    </to>
    <graphicFrame>
      <nvGraphicFramePr>
        <cNvPr id="2" name="Chart 2"/>
        <cNvGraphicFramePr/>
      </nvGraphicFramePr>
      <xfrm/>
      <a:graphic>
        <a:graphicData uri="http://schemas.openxmlformats.org/drawingml/2006/chart">
          <c:chart r:id="rId2"/>
        </a:graphicData>
      </a:graphic>
    </graphicFrame>
    <clientData/>
  </twoCellAnchor>
  <twoCellAnchor>
    <from>
      <col>0</col>
      <colOff>0</colOff>
      <row>55</row>
      <rowOff>0</rowOff>
    </from>
    <to>
      <col>7</col>
      <colOff>276225</colOff>
      <row>76</row>
      <rowOff>114300</rowOff>
    </to>
    <graphicFrame>
      <nvGraphicFramePr>
        <cNvPr id="3" name="Chart 3"/>
        <cNvGraphicFramePr/>
      </nvGraphicFramePr>
      <xfrm/>
      <a:graphic>
        <a:graphicData uri="http://schemas.openxmlformats.org/drawingml/2006/chart">
          <c:chart r:id="rId3"/>
        </a:graphicData>
      </a:graphic>
    </graphicFrame>
    <clientData/>
  </twoCellAnchor>
  <twoCellAnchor>
    <from>
      <col>8</col>
      <colOff>0</colOff>
      <row>11</row>
      <rowOff>0</rowOff>
    </from>
    <to>
      <col>18</col>
      <colOff>257175</colOff>
      <row>32</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8</col>
      <colOff>0</colOff>
      <row>33</row>
      <rowOff>0</rowOff>
    </from>
    <to>
      <col>18</col>
      <colOff>257175</colOff>
      <row>54</row>
      <rowOff>114300</rowOff>
    </to>
    <graphicFrame>
      <nvGraphicFramePr>
        <cNvPr id="5" name="Chart 5"/>
        <cNvGraphicFramePr/>
      </nvGraphicFramePr>
      <xfrm/>
      <a:graphic>
        <a:graphicData uri="http://schemas.openxmlformats.org/drawingml/2006/chart">
          <c:chart r:id="rId5"/>
        </a:graphicData>
      </a:graphic>
    </graphicFrame>
    <clientData/>
  </twoCellAnchor>
  <twoCellAnchor>
    <from>
      <col>8</col>
      <colOff>0</colOff>
      <row>55</row>
      <rowOff>0</rowOff>
    </from>
    <to>
      <col>18</col>
      <colOff>257175</colOff>
      <row>76</row>
      <rowOff>114300</rowOff>
    </to>
    <graphicFrame>
      <nvGraphicFramePr>
        <cNvPr id="6" name="Chart 6"/>
        <cNvGraphicFramePr/>
      </nvGraphicFramePr>
      <xfrm/>
      <a:graphic>
        <a:graphicData uri="http://schemas.openxmlformats.org/drawingml/2006/chart">
          <c:chart r:id="rId6"/>
        </a:graphicData>
      </a:graphic>
    </graphicFrame>
    <clientData/>
  </twoCellAnchor>
  <twoCellAnchor>
    <from>
      <col>19</col>
      <colOff>0</colOff>
      <row>11</row>
      <rowOff>0</rowOff>
    </from>
    <to>
      <col>30</col>
      <colOff>152400</colOff>
      <row>32</row>
      <rowOff>114300</rowOff>
    </to>
    <graphicFrame>
      <nvGraphicFramePr>
        <cNvPr id="7" name="Chart 7"/>
        <cNvGraphicFramePr/>
      </nvGraphicFramePr>
      <xfrm/>
      <a:graphic>
        <a:graphicData uri="http://schemas.openxmlformats.org/drawingml/2006/chart">
          <c:chart r:id="rId7"/>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B1:I36"/>
  <sheetViews>
    <sheetView workbookViewId="0">
      <selection activeCell="F10" sqref="F10"/>
    </sheetView>
  </sheetViews>
  <sheetFormatPr baseColWidth="8" defaultColWidth="9.140625" defaultRowHeight="15"/>
  <cols>
    <col width="16.7109375" customWidth="1" style="5" min="2" max="2"/>
    <col width="24.7109375" customWidth="1" style="5" min="3" max="9"/>
  </cols>
  <sheetData>
    <row r="1">
      <c r="B1" t="inlineStr">
        <is>
          <t>Reference:</t>
        </is>
      </c>
      <c r="C1" s="61" t="inlineStr">
        <is>
          <t>F004_anchor</t>
        </is>
      </c>
    </row>
    <row r="2">
      <c r="B2" t="inlineStr">
        <is>
          <t>Tested:</t>
        </is>
      </c>
      <c r="C2" s="62" t="inlineStr">
        <is>
          <t>F004_texture1k</t>
        </is>
      </c>
    </row>
    <row r="4" customFormat="1" s="1">
      <c r="B4" s="1" t="inlineStr">
        <is>
          <t>All Intra</t>
        </is>
      </c>
    </row>
    <row r="6" ht="45" customHeight="1" s="5">
      <c r="B6" s="63" t="inlineStr">
        <is>
          <t>C0_ai</t>
        </is>
      </c>
      <c r="C6" s="64" t="inlineStr">
        <is>
          <t>lossless geometry, lossless attributes [all intra]</t>
        </is>
      </c>
    </row>
    <row r="7">
      <c r="C7" s="65" t="inlineStr">
        <is>
          <t>bpif ratio [%]</t>
        </is>
      </c>
    </row>
    <row r="8">
      <c r="B8" s="10" t="n"/>
      <c r="C8" s="4" t="inlineStr">
        <is>
          <t>Total</t>
        </is>
      </c>
    </row>
    <row r="9">
      <c r="B9" t="inlineStr">
        <is>
          <t>Cat1-A average</t>
        </is>
      </c>
      <c r="C9" s="6">
        <f>'C0 lossless AI'!T13</f>
        <v/>
      </c>
    </row>
    <row r="10">
      <c r="B10" t="inlineStr">
        <is>
          <t>Cat1-B average</t>
        </is>
      </c>
      <c r="C10" s="6">
        <f>'C0 lossless AI'!T14</f>
        <v/>
      </c>
    </row>
    <row r="11">
      <c r="B11" t="inlineStr">
        <is>
          <t>Cat1-C average</t>
        </is>
      </c>
      <c r="C11" s="6">
        <f>'C0 lossless AI'!T15</f>
        <v/>
      </c>
    </row>
    <row r="12">
      <c r="B12" s="7" t="inlineStr">
        <is>
          <t>Overall average</t>
        </is>
      </c>
      <c r="C12" s="8">
        <f>'C0 lossless AI'!T16</f>
        <v/>
      </c>
    </row>
    <row r="13">
      <c r="B13" t="inlineStr">
        <is>
          <t>Avg. Enc Time [%]</t>
        </is>
      </c>
      <c r="C13" s="67">
        <f>'C0 lossless AI'!Q18</f>
        <v/>
      </c>
    </row>
    <row r="14">
      <c r="B14" s="10" t="inlineStr">
        <is>
          <t>Avg. Dec Time [%]</t>
        </is>
      </c>
      <c r="C14" s="68">
        <f>'C0 lossless AI'!R18</f>
        <v/>
      </c>
    </row>
    <row r="16">
      <c r="B16" s="63" t="inlineStr">
        <is>
          <t>C1_ai</t>
        </is>
      </c>
      <c r="C16" s="64" t="inlineStr">
        <is>
          <t>lossy geometry, lossy attributes [all intra]</t>
        </is>
      </c>
      <c r="D16" s="86" t="n"/>
      <c r="E16" s="86" t="n"/>
      <c r="F16" s="86" t="n"/>
      <c r="G16" s="86" t="n"/>
      <c r="H16" s="86" t="n"/>
      <c r="I16" s="86" t="n"/>
    </row>
    <row r="17">
      <c r="C17" s="65" t="inlineStr">
        <is>
          <t>Pointcloud-based BD‑Rate [%]</t>
        </is>
      </c>
      <c r="H17" s="66" t="inlineStr">
        <is>
          <t>Image-based BD‑Rate [%]</t>
        </is>
      </c>
    </row>
    <row r="18">
      <c r="B18" s="10" t="n"/>
      <c r="C18" s="4" t="inlineStr">
        <is>
          <t>D1</t>
        </is>
      </c>
      <c r="D18" s="4" t="inlineStr">
        <is>
          <t>D2</t>
        </is>
      </c>
      <c r="E18" s="4" t="inlineStr">
        <is>
          <t>Luma</t>
        </is>
      </c>
      <c r="F18" s="4" t="inlineStr">
        <is>
          <t>Chroma Cb</t>
        </is>
      </c>
      <c r="G18" s="4" t="inlineStr">
        <is>
          <t>Chroma Cr</t>
        </is>
      </c>
      <c r="H18" s="12" t="inlineStr">
        <is>
          <t>Geom</t>
        </is>
      </c>
      <c r="I18" s="12" t="inlineStr">
        <is>
          <t>Luma</t>
        </is>
      </c>
    </row>
    <row r="19">
      <c r="B19" t="inlineStr">
        <is>
          <t>Cat1-A average</t>
        </is>
      </c>
      <c r="C19" s="6">
        <f>'C1 lossy AI'!$AL$45:$AL$45</f>
        <v/>
      </c>
      <c r="D19" s="6">
        <f>'C1 lossy AI'!$AM$45:$AM$45</f>
        <v/>
      </c>
      <c r="E19" s="6">
        <f>'C1 lossy AI'!$AN$45:$AN$45</f>
        <v/>
      </c>
      <c r="F19" s="6">
        <f>'C1 lossy AI'!$AO$45:$AO$45</f>
        <v/>
      </c>
      <c r="G19" s="6">
        <f>'C1 lossy AI'!$AP$45:$AP$45</f>
        <v/>
      </c>
      <c r="H19" s="6">
        <f>'C1 lossy AI'!$AQ$45:$AQ$45</f>
        <v/>
      </c>
      <c r="I19" s="6">
        <f>'C1 lossy AI'!$AR$45:$AR$45</f>
        <v/>
      </c>
    </row>
    <row r="20">
      <c r="B20" t="inlineStr">
        <is>
          <t>Cat1-B average</t>
        </is>
      </c>
      <c r="C20" s="6">
        <f>'C1 lossy AI'!$AL$46:$AL$46</f>
        <v/>
      </c>
      <c r="D20" s="6">
        <f>'C1 lossy AI'!$AM$46:$AM$46</f>
        <v/>
      </c>
      <c r="E20" s="6">
        <f>'C1 lossy AI'!$AN$46:$AN$46</f>
        <v/>
      </c>
      <c r="F20" s="6">
        <f>'C1 lossy AI'!$AO$46:$AO$46</f>
        <v/>
      </c>
      <c r="G20" s="6">
        <f>'C1 lossy AI'!$AP$46:$AP$46</f>
        <v/>
      </c>
      <c r="H20" s="6">
        <f>'C1 lossy AI'!$AQ$46:$AQ$46</f>
        <v/>
      </c>
      <c r="I20" s="6">
        <f>'C1 lossy AI'!$AR$46:$AR$46</f>
        <v/>
      </c>
    </row>
    <row r="21">
      <c r="B21" t="inlineStr">
        <is>
          <t>Cat1-C average</t>
        </is>
      </c>
      <c r="C21" s="6">
        <f>'C1 lossy AI'!$AL$47:$AL$47</f>
        <v/>
      </c>
      <c r="D21" s="6">
        <f>'C1 lossy AI'!$AM$47:$AM$47</f>
        <v/>
      </c>
      <c r="E21" s="6">
        <f>'C1 lossy AI'!$AN$47:$AN$47</f>
        <v/>
      </c>
      <c r="F21" s="6">
        <f>'C1 lossy AI'!$AO$47:$AO$47</f>
        <v/>
      </c>
      <c r="G21" s="6">
        <f>'C1 lossy AI'!$AP$47:$AP$47</f>
        <v/>
      </c>
      <c r="H21" s="6">
        <f>'C1 lossy AI'!$AQ$47:$AQ$47</f>
        <v/>
      </c>
      <c r="I21" s="6">
        <f>'C1 lossy AI'!$AR$47:$AR$47</f>
        <v/>
      </c>
    </row>
    <row r="22">
      <c r="B22" s="7" t="inlineStr">
        <is>
          <t>Overall average</t>
        </is>
      </c>
      <c r="C22" s="8">
        <f>'C1 lossy AI'!$AL$48:$AL$48</f>
        <v/>
      </c>
      <c r="D22" s="8">
        <f>'C1 lossy AI'!$AM$48:$AM$48</f>
        <v/>
      </c>
      <c r="E22" s="8">
        <f>'C1 lossy AI'!$AN$48:$AN$48</f>
        <v/>
      </c>
      <c r="F22" s="8">
        <f>'C1 lossy AI'!$AO$48:$AO$48</f>
        <v/>
      </c>
      <c r="G22" s="8">
        <f>'C1 lossy AI'!$AP$48:$AP$48</f>
        <v/>
      </c>
      <c r="H22" s="8">
        <f>'C1 lossy AI'!$AQ$48:$AQ$48</f>
        <v/>
      </c>
      <c r="I22" s="8">
        <f>'C1 lossy AI'!$AR$48:$AR$48</f>
        <v/>
      </c>
    </row>
    <row r="23">
      <c r="B23" t="inlineStr">
        <is>
          <t>Avg. Enc Time [%]</t>
        </is>
      </c>
      <c r="C23" s="67">
        <f>'C1 lossy AI'!AI50</f>
        <v/>
      </c>
    </row>
    <row r="24">
      <c r="B24" s="10" t="inlineStr">
        <is>
          <t>Avg. Dec Time [%]</t>
        </is>
      </c>
      <c r="C24" s="68">
        <f>'C1 lossy AI'!AJ50</f>
        <v/>
      </c>
      <c r="D24" s="10" t="n"/>
      <c r="E24" s="10" t="n"/>
      <c r="F24" s="10" t="n"/>
      <c r="G24" s="10" t="n"/>
      <c r="H24" s="10" t="n"/>
      <c r="I24" s="10" t="n"/>
    </row>
    <row r="26" customFormat="1" s="1">
      <c r="B26" s="1" t="inlineStr">
        <is>
          <t>Inter, Random Access</t>
        </is>
      </c>
    </row>
    <row r="28">
      <c r="B28" s="63" t="inlineStr">
        <is>
          <t>C2_ra</t>
        </is>
      </c>
      <c r="C28" s="64" t="inlineStr">
        <is>
          <t>lossy geometry, lossy attributes [inter, random access]</t>
        </is>
      </c>
      <c r="D28" s="86" t="n"/>
      <c r="E28" s="86" t="n"/>
      <c r="F28" s="86" t="n"/>
      <c r="G28" s="86" t="n"/>
      <c r="H28" s="86" t="n"/>
      <c r="I28" s="86" t="n"/>
    </row>
    <row r="29">
      <c r="C29" s="65" t="inlineStr">
        <is>
          <t>Pointcloud-based BD‑Rate [%]</t>
        </is>
      </c>
      <c r="H29" s="66" t="inlineStr">
        <is>
          <t>Image-based BD‑Rate [%]</t>
        </is>
      </c>
    </row>
    <row r="30">
      <c r="B30" s="10" t="n"/>
      <c r="C30" s="4" t="inlineStr">
        <is>
          <t>D1</t>
        </is>
      </c>
      <c r="D30" s="4" t="inlineStr">
        <is>
          <t>D2</t>
        </is>
      </c>
      <c r="E30" s="4" t="inlineStr">
        <is>
          <t>Luma</t>
        </is>
      </c>
      <c r="F30" s="4" t="inlineStr">
        <is>
          <t>Chroma Cb</t>
        </is>
      </c>
      <c r="G30" s="4" t="inlineStr">
        <is>
          <t>Chroma Cr</t>
        </is>
      </c>
      <c r="H30" s="12" t="inlineStr">
        <is>
          <t>Geom</t>
        </is>
      </c>
      <c r="I30" s="12" t="inlineStr">
        <is>
          <t>Luma</t>
        </is>
      </c>
    </row>
    <row r="31">
      <c r="B31" t="inlineStr">
        <is>
          <t>Cat1-A average</t>
        </is>
      </c>
      <c r="C31" s="6">
        <f>'C2 lossy RA'!$AL$45:$AL$45</f>
        <v/>
      </c>
      <c r="D31" s="6">
        <f>'C2 lossy RA'!$AM$45:$AM$45</f>
        <v/>
      </c>
      <c r="E31" s="6">
        <f>'C2 lossy RA'!$AN$45:$AN$45</f>
        <v/>
      </c>
      <c r="F31" s="6">
        <f>'C2 lossy RA'!$AO$45:$AO$45</f>
        <v/>
      </c>
      <c r="G31" s="6">
        <f>'C2 lossy RA'!$AP$45:$AP$45</f>
        <v/>
      </c>
      <c r="H31" s="6">
        <f>'C2 lossy RA'!$AQ$45:$AQ$45</f>
        <v/>
      </c>
      <c r="I31" s="6">
        <f>'C2 lossy RA'!$AR$45:$AR$45</f>
        <v/>
      </c>
    </row>
    <row r="32">
      <c r="B32" t="inlineStr">
        <is>
          <t>Cat1-B average</t>
        </is>
      </c>
      <c r="C32" s="6">
        <f>'C2 lossy RA'!$AL$46:$AL$46</f>
        <v/>
      </c>
      <c r="D32" s="6">
        <f>'C2 lossy RA'!$AM$46:$AM$46</f>
        <v/>
      </c>
      <c r="E32" s="6">
        <f>'C2 lossy RA'!$AN$46:$AN$46</f>
        <v/>
      </c>
      <c r="F32" s="6">
        <f>'C2 lossy RA'!$AO$46:$AO$46</f>
        <v/>
      </c>
      <c r="G32" s="6">
        <f>'C2 lossy RA'!$AP$46:$AP$46</f>
        <v/>
      </c>
      <c r="H32" s="6">
        <f>'C2 lossy RA'!$AQ$46:$AQ$46</f>
        <v/>
      </c>
      <c r="I32" s="6">
        <f>'C2 lossy RA'!$AR$46:$AR$46</f>
        <v/>
      </c>
    </row>
    <row r="33">
      <c r="B33" t="inlineStr">
        <is>
          <t>Cat1-C average</t>
        </is>
      </c>
      <c r="C33" s="6">
        <f>'C2 lossy RA'!$AL$47:$AL$47</f>
        <v/>
      </c>
      <c r="D33" s="6">
        <f>'C2 lossy RA'!$AM$47:$AM$47</f>
        <v/>
      </c>
      <c r="E33" s="6">
        <f>'C2 lossy RA'!$AN$47:$AN$47</f>
        <v/>
      </c>
      <c r="F33" s="6">
        <f>'C2 lossy RA'!$AO$47:$AO$47</f>
        <v/>
      </c>
      <c r="G33" s="6">
        <f>'C2 lossy RA'!$AP$47:$AP$47</f>
        <v/>
      </c>
      <c r="H33" s="6">
        <f>'C2 lossy RA'!$AQ$47:$AQ$47</f>
        <v/>
      </c>
      <c r="I33" s="6">
        <f>'C2 lossy RA'!$AR$47:$AR$47</f>
        <v/>
      </c>
    </row>
    <row r="34">
      <c r="B34" s="7" t="inlineStr">
        <is>
          <t>Overall average</t>
        </is>
      </c>
      <c r="C34" s="8">
        <f>'C2 lossy RA'!$AL$48:$AL$48</f>
        <v/>
      </c>
      <c r="D34" s="8">
        <f>'C2 lossy RA'!$AM$48:$AM$48</f>
        <v/>
      </c>
      <c r="E34" s="8">
        <f>'C2 lossy RA'!$AN$48:$AN$48</f>
        <v/>
      </c>
      <c r="F34" s="8">
        <f>'C2 lossy RA'!$AO$48:$AO$48</f>
        <v/>
      </c>
      <c r="G34" s="8">
        <f>'C2 lossy RA'!$AP$48:$AP$48</f>
        <v/>
      </c>
      <c r="H34" s="8">
        <f>'C2 lossy RA'!$AQ$48:$AQ$48</f>
        <v/>
      </c>
      <c r="I34" s="8">
        <f>'C2 lossy RA'!$AR$48:$AR$48</f>
        <v/>
      </c>
    </row>
    <row r="35">
      <c r="B35" t="inlineStr">
        <is>
          <t>Avg. Enc Time [%]</t>
        </is>
      </c>
      <c r="C35" s="67">
        <f>'C2 lossy RA'!AI50</f>
        <v/>
      </c>
    </row>
    <row r="36">
      <c r="B36" s="10" t="inlineStr">
        <is>
          <t>Avg. Dec Time [%]</t>
        </is>
      </c>
      <c r="C36" s="68">
        <f>'C2 lossy RA'!AJ50</f>
        <v/>
      </c>
      <c r="D36" s="10" t="n"/>
      <c r="E36" s="10" t="n"/>
      <c r="F36" s="10" t="n"/>
      <c r="G36" s="10" t="n"/>
      <c r="H36" s="10" t="n"/>
      <c r="I36" s="10" t="n"/>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priority="15" operator="greaterThanOrEqual" dxfId="3">
      <formula>0.03</formula>
    </cfRule>
    <cfRule type="cellIs" priority="16" operator="lessThanOrEqual" dxfId="2">
      <formula>-0.03</formula>
    </cfRule>
  </conditionalFormatting>
  <conditionalFormatting sqref="C31 C32 C33 C34">
    <cfRule type="cellIs" priority="17" operator="greaterThanOrEqual" dxfId="3">
      <formula>0.03</formula>
    </cfRule>
    <cfRule type="cellIs" priority="18" operator="lessThanOrEqual" dxfId="2">
      <formula>-0.03</formula>
    </cfRule>
  </conditionalFormatting>
  <conditionalFormatting sqref="C9 C10 C11 C12">
    <cfRule type="cellIs" priority="1" operator="greaterThanOrEqual" dxfId="3">
      <formula>1.03</formula>
    </cfRule>
    <cfRule type="cellIs" priority="2" operator="lessThanOrEqual" dxfId="2">
      <formula>0.97</formula>
    </cfRule>
  </conditionalFormatting>
  <conditionalFormatting sqref="D19 D20 D21 D22">
    <cfRule type="cellIs" priority="11" operator="greaterThanOrEqual" dxfId="3">
      <formula>0.03</formula>
    </cfRule>
    <cfRule type="cellIs" priority="12" operator="lessThanOrEqual" dxfId="2">
      <formula>-0.03</formula>
    </cfRule>
  </conditionalFormatting>
  <conditionalFormatting sqref="D31 D32 D33 D34">
    <cfRule type="cellIs" priority="21" operator="greaterThanOrEqual" dxfId="3">
      <formula>0.03</formula>
    </cfRule>
    <cfRule type="cellIs" priority="22" operator="lessThanOrEqual" dxfId="2">
      <formula>-0.03</formula>
    </cfRule>
  </conditionalFormatting>
  <conditionalFormatting sqref="E19 E20 E21 E22">
    <cfRule type="cellIs" priority="5" operator="greaterThanOrEqual" dxfId="3">
      <formula>0.03</formula>
    </cfRule>
    <cfRule type="cellIs" priority="6" operator="lessThanOrEqual" dxfId="2">
      <formula>-0.03</formula>
    </cfRule>
  </conditionalFormatting>
  <conditionalFormatting sqref="E31 E32 E33 E34">
    <cfRule type="cellIs" priority="25" operator="greaterThanOrEqual" dxfId="3">
      <formula>0.03</formula>
    </cfRule>
    <cfRule type="cellIs" priority="26" operator="lessThanOrEqual" dxfId="2">
      <formula>-0.03</formula>
    </cfRule>
  </conditionalFormatting>
  <conditionalFormatting sqref="F19 F20 F21 F22">
    <cfRule type="cellIs" priority="3" operator="greaterThanOrEqual" dxfId="3">
      <formula>0.03</formula>
    </cfRule>
    <cfRule type="cellIs" priority="4" operator="lessThanOrEqual" dxfId="2">
      <formula>-0.03</formula>
    </cfRule>
  </conditionalFormatting>
  <conditionalFormatting sqref="F31 F32 F33 F34">
    <cfRule type="cellIs" priority="29" operator="greaterThanOrEqual" dxfId="3">
      <formula>0.03</formula>
    </cfRule>
    <cfRule type="cellIs" priority="30" operator="lessThanOrEqual" dxfId="2">
      <formula>-0.03</formula>
    </cfRule>
  </conditionalFormatting>
  <conditionalFormatting sqref="G19 G20 G21 G22">
    <cfRule type="cellIs" priority="13" operator="greaterThanOrEqual" dxfId="3">
      <formula>0.03</formula>
    </cfRule>
    <cfRule type="cellIs" priority="14" operator="lessThanOrEqual" dxfId="2">
      <formula>-0.03</formula>
    </cfRule>
  </conditionalFormatting>
  <conditionalFormatting sqref="G31 G32 G33 G34">
    <cfRule type="cellIs" priority="19" operator="greaterThanOrEqual" dxfId="3">
      <formula>0.03</formula>
    </cfRule>
    <cfRule type="cellIs" priority="20" operator="lessThanOrEqual" dxfId="2">
      <formula>-0.03</formula>
    </cfRule>
  </conditionalFormatting>
  <conditionalFormatting sqref="H19 H20 H21 H22">
    <cfRule type="cellIs" priority="9" operator="greaterThanOrEqual" dxfId="3">
      <formula>0.03</formula>
    </cfRule>
    <cfRule type="cellIs" priority="10" operator="lessThanOrEqual" dxfId="2">
      <formula>-0.03</formula>
    </cfRule>
  </conditionalFormatting>
  <conditionalFormatting sqref="H31 H32 H33 H34">
    <cfRule type="cellIs" priority="23" operator="greaterThanOrEqual" dxfId="3">
      <formula>0.03</formula>
    </cfRule>
    <cfRule type="cellIs" priority="24" operator="lessThanOrEqual" dxfId="2">
      <formula>-0.03</formula>
    </cfRule>
  </conditionalFormatting>
  <conditionalFormatting sqref="I19 I20 I21 I22">
    <cfRule type="cellIs" priority="7" operator="greaterThanOrEqual" dxfId="3">
      <formula>0.03</formula>
    </cfRule>
    <cfRule type="cellIs" priority="8" operator="lessThanOrEqual" dxfId="2">
      <formula>-0.03</formula>
    </cfRule>
  </conditionalFormatting>
  <conditionalFormatting sqref="I31 I32 I33 I34">
    <cfRule type="cellIs" priority="27" operator="greaterThanOrEqual" dxfId="3">
      <formula>0.03</formula>
    </cfRule>
    <cfRule type="cellIs" priority="28" operator="lessThanOrEqual" dxfId="2">
      <formula>-0.03</formula>
    </cfRule>
  </conditionalFormatting>
  <pageMargins left="0.7" right="0.7" top="0.75" bottom="0.75" header="0.3" footer="0.3"/>
</worksheet>
</file>

<file path=xl/worksheets/sheet2.xml><?xml version="1.0" encoding="utf-8"?>
<worksheet xmlns:r="http://schemas.openxmlformats.org/officeDocument/2006/relationships" xmlns="http://schemas.openxmlformats.org/spreadsheetml/2006/main">
  <sheetPr>
    <outlinePr summaryBelow="1" summaryRight="1"/>
    <pageSetUpPr/>
  </sheetPr>
  <dimension ref="A1:N49"/>
  <sheetViews>
    <sheetView zoomScale="55" zoomScaleNormal="55" workbookViewId="0">
      <selection activeCell="N3" sqref="N3"/>
    </sheetView>
  </sheetViews>
  <sheetFormatPr baseColWidth="8" defaultColWidth="9.140625" defaultRowHeight="15"/>
  <cols>
    <col width="12.7109375" customWidth="1" style="5" min="1" max="1"/>
    <col width="24.7109375" customWidth="1" style="5" min="2" max="2"/>
    <col width="24.7109375" customWidth="1" style="5" min="4" max="4"/>
    <col width="16.7109375" customWidth="1" style="5" min="9" max="9"/>
  </cols>
  <sheetData>
    <row r="1">
      <c r="A1" t="inlineStr">
        <is>
          <t>Condition:</t>
        </is>
      </c>
      <c r="B1" s="13">
        <f>M1</f>
        <v/>
      </c>
      <c r="C1" t="inlineStr">
        <is>
          <t>← Select this …</t>
        </is>
      </c>
      <c r="I1" t="inlineStr">
        <is>
          <t>Columns</t>
        </is>
      </c>
      <c r="M1" t="inlineStr">
        <is>
          <t>C1 lossy AI</t>
        </is>
      </c>
      <c r="N1" t="inlineStr">
        <is>
          <t>C2 lossy RA</t>
        </is>
      </c>
    </row>
    <row r="2">
      <c r="A2" t="inlineStr">
        <is>
          <t>Sequence:</t>
        </is>
      </c>
      <c r="B2" s="13" t="inlineStr">
        <is>
          <t>mitch_voxelised</t>
        </is>
      </c>
      <c r="C2" t="inlineStr">
        <is>
          <t>← … then this</t>
        </is>
      </c>
      <c r="I2" t="inlineStr">
        <is>
          <t>dec.cb-hpsnr</t>
        </is>
      </c>
      <c r="J2" t="inlineStr">
        <is>
          <t>Chroma Cb EtE Hausdorff PSNR [dB]</t>
        </is>
      </c>
      <c r="M2" t="inlineStr">
        <is>
          <t>names!$B$79:$N$79</t>
        </is>
      </c>
      <c r="N2" t="inlineStr">
        <is>
          <t>names!$B$131:$N$131</t>
        </is>
      </c>
    </row>
    <row r="3">
      <c r="I3" t="inlineStr">
        <is>
          <t>dec.cb-psnr</t>
        </is>
      </c>
      <c r="J3" t="inlineStr">
        <is>
          <t>Chroma Cb End-to-end PSNR [dB]</t>
        </is>
      </c>
      <c r="M3" t="inlineStr">
        <is>
          <t>longdress_voxelised</t>
        </is>
      </c>
      <c r="N3" t="inlineStr">
        <is>
          <t>longdress_voxelised</t>
        </is>
      </c>
    </row>
    <row r="4">
      <c r="A4" t="inlineStr">
        <is>
          <t>X:</t>
        </is>
      </c>
      <c r="B4" s="13" t="inlineStr">
        <is>
          <t>eqn.bitrate</t>
        </is>
      </c>
      <c r="C4" t="inlineStr">
        <is>
          <t>Y:</t>
        </is>
      </c>
      <c r="D4" s="13" t="inlineStr">
        <is>
          <t>dec.pc-d1-psnr</t>
        </is>
      </c>
      <c r="E4" t="inlineStr">
        <is>
          <t>← settings for graph a</t>
        </is>
      </c>
      <c r="I4" t="inlineStr">
        <is>
          <t>dec.cr-hpsnr</t>
        </is>
      </c>
      <c r="J4" t="inlineStr">
        <is>
          <t>Chroma Cr EtE Hausdorff PSNR [dB]</t>
        </is>
      </c>
      <c r="M4" t="inlineStr">
        <is>
          <t>soldier_voxelised</t>
        </is>
      </c>
      <c r="N4" t="inlineStr">
        <is>
          <t>soldier_voxelised</t>
        </is>
      </c>
    </row>
    <row r="5">
      <c r="A5" t="inlineStr">
        <is>
          <t>X:</t>
        </is>
      </c>
      <c r="B5" s="13" t="inlineStr">
        <is>
          <t>eqn.bitrate</t>
        </is>
      </c>
      <c r="C5" t="inlineStr">
        <is>
          <t>Y:</t>
        </is>
      </c>
      <c r="D5" s="13" t="inlineStr">
        <is>
          <t>dec.pc-d2-psnr</t>
        </is>
      </c>
      <c r="E5" t="inlineStr">
        <is>
          <t>← settings for graph b</t>
        </is>
      </c>
      <c r="I5" t="inlineStr">
        <is>
          <t>dec.cr-psnr</t>
        </is>
      </c>
      <c r="J5" t="inlineStr">
        <is>
          <t>Chroma Cr End-to-end PSNR [dB]</t>
        </is>
      </c>
      <c r="M5" t="inlineStr">
        <is>
          <t>basketball_player_voxelised</t>
        </is>
      </c>
      <c r="N5" t="inlineStr">
        <is>
          <t>basketball_player_voxelised</t>
        </is>
      </c>
    </row>
    <row r="6">
      <c r="A6" t="inlineStr">
        <is>
          <t>X:</t>
        </is>
      </c>
      <c r="B6" s="13" t="inlineStr">
        <is>
          <t>eqn.bitrate</t>
        </is>
      </c>
      <c r="C6" t="inlineStr">
        <is>
          <t>Y:</t>
        </is>
      </c>
      <c r="D6" s="13" t="inlineStr">
        <is>
          <t>dec.img-geom-psnr</t>
        </is>
      </c>
      <c r="E6" t="inlineStr">
        <is>
          <t>← settings for graph c</t>
        </is>
      </c>
      <c r="I6" t="inlineStr">
        <is>
          <t>dec.d1-mse</t>
        </is>
      </c>
      <c r="J6" t="inlineStr">
        <is>
          <t>D1 Geometry MSE</t>
        </is>
      </c>
      <c r="M6" t="inlineStr">
        <is>
          <t>dancer_voxelised</t>
        </is>
      </c>
      <c r="N6" t="inlineStr">
        <is>
          <t>dancer_voxelised</t>
        </is>
      </c>
    </row>
    <row r="7">
      <c r="A7" t="inlineStr">
        <is>
          <t>X:</t>
        </is>
      </c>
      <c r="B7" s="13" t="inlineStr">
        <is>
          <t>eqn.bitrate</t>
        </is>
      </c>
      <c r="C7" t="inlineStr">
        <is>
          <t>Y:</t>
        </is>
      </c>
      <c r="D7" s="13" t="inlineStr">
        <is>
          <t>dec.pc-y-psnr</t>
        </is>
      </c>
      <c r="E7" t="inlineStr">
        <is>
          <t>← settings for graph d</t>
        </is>
      </c>
      <c r="I7" t="inlineStr">
        <is>
          <t>dec.d1-psnr</t>
        </is>
      </c>
      <c r="J7" t="inlineStr">
        <is>
          <t>D1 Geometry PSNR [dB]</t>
        </is>
      </c>
      <c r="M7" t="inlineStr">
        <is>
          <t>football_voxelised</t>
        </is>
      </c>
      <c r="N7" t="inlineStr">
        <is>
          <t>football_voxelised</t>
        </is>
      </c>
    </row>
    <row r="8">
      <c r="A8" t="inlineStr">
        <is>
          <t>X:</t>
        </is>
      </c>
      <c r="B8" s="13" t="inlineStr">
        <is>
          <t>eqn.bitrate</t>
        </is>
      </c>
      <c r="C8" t="inlineStr">
        <is>
          <t>Y:</t>
        </is>
      </c>
      <c r="D8" s="13" t="inlineStr">
        <is>
          <t>dec.pc-cb-psnr</t>
        </is>
      </c>
      <c r="E8" t="inlineStr">
        <is>
          <t>← settings for graph e</t>
        </is>
      </c>
      <c r="I8" t="inlineStr">
        <is>
          <t>dec.d2-mse</t>
        </is>
      </c>
      <c r="J8" t="inlineStr">
        <is>
          <t>D2 Geometry MSE</t>
        </is>
      </c>
      <c r="M8" t="inlineStr">
        <is>
          <t>levi_voxelised</t>
        </is>
      </c>
      <c r="N8" t="inlineStr">
        <is>
          <t>levi_voxelised</t>
        </is>
      </c>
    </row>
    <row r="9">
      <c r="A9" t="inlineStr">
        <is>
          <t>X:</t>
        </is>
      </c>
      <c r="B9" s="13" t="inlineStr">
        <is>
          <t>eqn.bitrate</t>
        </is>
      </c>
      <c r="C9" t="inlineStr">
        <is>
          <t>Y:</t>
        </is>
      </c>
      <c r="D9" s="13" t="inlineStr">
        <is>
          <t>dec.pc-cr-psnr</t>
        </is>
      </c>
      <c r="E9" t="inlineStr">
        <is>
          <t>← settings for graph f</t>
        </is>
      </c>
      <c r="I9" t="inlineStr">
        <is>
          <t>dec.d2-psnr</t>
        </is>
      </c>
      <c r="J9" t="inlineStr">
        <is>
          <t>D2 Geometry PSNR [dB]</t>
        </is>
      </c>
      <c r="M9" t="inlineStr">
        <is>
          <t>mitch_voxelised</t>
        </is>
      </c>
      <c r="N9" t="inlineStr">
        <is>
          <t>mitch_voxelised</t>
        </is>
      </c>
    </row>
    <row r="10">
      <c r="A10" t="inlineStr">
        <is>
          <t>X:</t>
        </is>
      </c>
      <c r="B10" s="13" t="inlineStr">
        <is>
          <t>eqn.bitrate</t>
        </is>
      </c>
      <c r="C10" t="inlineStr">
        <is>
          <t>Y:</t>
        </is>
      </c>
      <c r="D10" s="13" t="inlineStr">
        <is>
          <t>dec.img-y-psnr</t>
        </is>
      </c>
      <c r="E10" t="inlineStr">
        <is>
          <t>← settings for graph g</t>
        </is>
      </c>
      <c r="I10" t="inlineStr">
        <is>
          <t>dec.geom-psnr</t>
        </is>
      </c>
      <c r="J10" t="inlineStr">
        <is>
          <t>Geo Geometry PSNR [dB]</t>
        </is>
      </c>
      <c r="M10" t="inlineStr">
        <is>
          <t>thomas_voxelised</t>
        </is>
      </c>
      <c r="N10" t="inlineStr">
        <is>
          <t>thomas_voxelised</t>
        </is>
      </c>
    </row>
    <row r="11">
      <c r="I11" t="inlineStr">
        <is>
          <t>dec.img-geom-psnr</t>
        </is>
      </c>
      <c r="J11" t="inlineStr">
        <is>
          <t>Geom Image-based PSNR [dB]</t>
        </is>
      </c>
    </row>
    <row r="12">
      <c r="I12" t="inlineStr">
        <is>
          <t>dec.img-y-psnr</t>
        </is>
      </c>
      <c r="J12" t="inlineStr">
        <is>
          <t>Luma Image-based PSNR [dB]</t>
        </is>
      </c>
    </row>
    <row r="13">
      <c r="I13" t="inlineStr">
        <is>
          <t>dec.numduppoints.mean</t>
        </is>
      </c>
      <c r="J13" t="inlineStr">
        <is>
          <t>Mean duplicate points</t>
        </is>
      </c>
    </row>
    <row r="14">
      <c r="I14" t="inlineStr">
        <is>
          <t>dec.numfaces</t>
        </is>
      </c>
      <c r="J14" t="inlineStr">
        <is>
          <t>№ output faces</t>
        </is>
      </c>
    </row>
    <row r="15">
      <c r="I15" t="inlineStr">
        <is>
          <t>dec.numpoints</t>
        </is>
      </c>
      <c r="J15" t="inlineStr">
        <is>
          <t>№ output points</t>
        </is>
      </c>
    </row>
    <row r="16">
      <c r="I16" t="inlineStr">
        <is>
          <t>dec.numpoints.mean</t>
        </is>
      </c>
      <c r="J16" t="inlineStr">
        <is>
          <t>Mean output points</t>
        </is>
      </c>
    </row>
    <row r="17">
      <c r="I17" t="inlineStr">
        <is>
          <t>dec.pc-cb-psnr</t>
        </is>
      </c>
      <c r="J17" t="inlineStr">
        <is>
          <t>Chroma Cb Pointcloud-based PSNR [dB]</t>
        </is>
      </c>
    </row>
    <row r="18">
      <c r="I18" t="inlineStr">
        <is>
          <t>dec.pc-cr-psnr</t>
        </is>
      </c>
      <c r="J18" t="inlineStr">
        <is>
          <t>Chroma Cr Pointcloud-based PSNR [dB]</t>
        </is>
      </c>
    </row>
    <row r="19">
      <c r="I19" t="inlineStr">
        <is>
          <t>dec.pc-d1-psnr</t>
        </is>
      </c>
      <c r="J19" t="inlineStr">
        <is>
          <t>D1 Pointcloud-based PSNR [dB]</t>
        </is>
      </c>
    </row>
    <row r="20">
      <c r="I20" t="inlineStr">
        <is>
          <t>dec.pc-d2-psnr</t>
        </is>
      </c>
      <c r="J20" t="inlineStr">
        <is>
          <t>D2 Pointcloud-based PSNR [dB]</t>
        </is>
      </c>
    </row>
    <row r="21">
      <c r="I21" t="inlineStr">
        <is>
          <t>dec.pc-y-psnr</t>
        </is>
      </c>
      <c r="J21" t="inlineStr">
        <is>
          <t>Luma Pointcloud-based PSNR [dB]</t>
        </is>
      </c>
    </row>
    <row r="22">
      <c r="I22" t="inlineStr">
        <is>
          <t>dec.post-recolour.cb-psnr</t>
        </is>
      </c>
      <c r="J22" t="inlineStr">
        <is>
          <t>Chroma Cb Post recolour PSNR [dB]</t>
        </is>
      </c>
    </row>
    <row r="23">
      <c r="I23" t="inlineStr">
        <is>
          <t>dec.post-recolour.cr-psnr</t>
        </is>
      </c>
      <c r="J23" t="inlineStr">
        <is>
          <t>Chroma Cr Post recolour PSNR [dB]</t>
        </is>
      </c>
    </row>
    <row r="24">
      <c r="I24" t="inlineStr">
        <is>
          <t>dec.post-recolour.y-psnr</t>
        </is>
      </c>
      <c r="J24" t="inlineStr">
        <is>
          <t>Luma Post recolour PSNR [dB]</t>
        </is>
      </c>
    </row>
    <row r="25">
      <c r="I25" t="inlineStr">
        <is>
          <t>dec.reflectance-hpsnr</t>
        </is>
      </c>
      <c r="J25" t="inlineStr">
        <is>
          <t>Reflectance EtE Hausdorff PSNR [dB]</t>
        </is>
      </c>
    </row>
    <row r="26">
      <c r="I26" t="inlineStr">
        <is>
          <t>dec.reflectance-psnr</t>
        </is>
      </c>
      <c r="J26" t="inlineStr">
        <is>
          <t>Reflectance End-to-end PSNR [dB]</t>
        </is>
      </c>
    </row>
    <row r="27">
      <c r="I27" t="inlineStr">
        <is>
          <t>dec.utime</t>
        </is>
      </c>
      <c r="J27" t="inlineStr">
        <is>
          <t>User Decoder runtime [s]</t>
        </is>
      </c>
    </row>
    <row r="28">
      <c r="I28" t="inlineStr">
        <is>
          <t>dec.utime.children</t>
        </is>
      </c>
      <c r="J28" t="inlineStr">
        <is>
          <t>Child Decoder runtime [s]</t>
        </is>
      </c>
    </row>
    <row r="29">
      <c r="I29" t="inlineStr">
        <is>
          <t>dec.utime.self</t>
        </is>
      </c>
      <c r="J29" t="inlineStr">
        <is>
          <t>Self Decoder runtime [s]</t>
        </is>
      </c>
    </row>
    <row r="30">
      <c r="I30" t="inlineStr">
        <is>
          <t>dec.y-hpsnr</t>
        </is>
      </c>
      <c r="J30" t="inlineStr">
        <is>
          <t>Luma EtE Hausdorff PSNR [dB]</t>
        </is>
      </c>
    </row>
    <row r="31">
      <c r="I31" t="inlineStr">
        <is>
          <t>dec.y-psnr</t>
        </is>
      </c>
      <c r="J31" t="inlineStr">
        <is>
          <t>Luma End-to-end PSNR [dB]</t>
        </is>
      </c>
    </row>
    <row r="32">
      <c r="I32" t="inlineStr">
        <is>
          <t>enc.bits.colour</t>
        </is>
      </c>
      <c r="J32" t="inlineStr">
        <is>
          <t>Colour Bitstream [bits]</t>
        </is>
      </c>
    </row>
    <row r="33">
      <c r="I33" t="inlineStr">
        <is>
          <t>enc.bits.geometry</t>
        </is>
      </c>
      <c r="J33" t="inlineStr">
        <is>
          <t>Geometry Bitstream [bits]</t>
        </is>
      </c>
    </row>
    <row r="34">
      <c r="I34" t="inlineStr">
        <is>
          <t>enc.bits.occ+patch</t>
        </is>
      </c>
      <c r="J34" t="inlineStr">
        <is>
          <t>Occ+Patch Bitstream [bits]</t>
        </is>
      </c>
    </row>
    <row r="35">
      <c r="I35" t="inlineStr">
        <is>
          <t>enc.bits.reflectance</t>
        </is>
      </c>
      <c r="J35" t="inlineStr">
        <is>
          <t>Reflectance Bitstream [bits]</t>
        </is>
      </c>
    </row>
    <row r="36">
      <c r="I36" t="inlineStr">
        <is>
          <t>enc.ext.bits</t>
        </is>
      </c>
      <c r="J36" t="inlineStr">
        <is>
          <t>Total Bitstream [bits]</t>
        </is>
      </c>
    </row>
    <row r="37">
      <c r="I37" t="inlineStr">
        <is>
          <t>enc.utime</t>
        </is>
      </c>
      <c r="J37" t="inlineStr">
        <is>
          <t>User Encoder runtime [s]</t>
        </is>
      </c>
    </row>
    <row r="38">
      <c r="I38" t="inlineStr">
        <is>
          <t>enc.utime.children</t>
        </is>
      </c>
      <c r="J38" t="inlineStr">
        <is>
          <t>Child Encoder runtime [s]</t>
        </is>
      </c>
    </row>
    <row r="39">
      <c r="I39" t="inlineStr">
        <is>
          <t>enc.utime.self</t>
        </is>
      </c>
      <c r="J39" t="inlineStr">
        <is>
          <t>Self Encoder runtime [s]</t>
        </is>
      </c>
    </row>
    <row r="40">
      <c r="I40" t="inlineStr">
        <is>
          <t>eqn.bitrate</t>
        </is>
      </c>
      <c r="J40" t="inlineStr">
        <is>
          <t>Rate [Mbps]</t>
        </is>
      </c>
    </row>
    <row r="41">
      <c r="I41" t="inlineStr">
        <is>
          <t>eqn.bits.totalgeometry</t>
        </is>
      </c>
      <c r="J41" t="inlineStr">
        <is>
          <t>eqn.bits.totalgeometry Bitstream [bits]</t>
        </is>
      </c>
    </row>
    <row r="42">
      <c r="I42" t="inlineStr">
        <is>
          <t>eqn.bpf</t>
        </is>
      </c>
      <c r="J42" t="inlineStr">
        <is>
          <t>Total Bits per input face [bpif]</t>
        </is>
      </c>
    </row>
    <row r="43">
      <c r="I43" t="inlineStr">
        <is>
          <t>eqn.bpop</t>
        </is>
      </c>
      <c r="J43" t="inlineStr">
        <is>
          <t>Total Bits per output point [bpop]</t>
        </is>
      </c>
    </row>
    <row r="44">
      <c r="I44" t="inlineStr">
        <is>
          <t>eqn.bpp</t>
        </is>
      </c>
      <c r="J44" t="inlineStr">
        <is>
          <t>Total Bits per input point [bpip]</t>
        </is>
      </c>
    </row>
    <row r="45">
      <c r="I45" t="inlineStr">
        <is>
          <t>eqn.bpp.colour</t>
        </is>
      </c>
      <c r="J45" t="inlineStr">
        <is>
          <t>Colour  Bits per input point [bpip]</t>
        </is>
      </c>
    </row>
    <row r="46">
      <c r="I46" t="inlineStr">
        <is>
          <t>eqn.bpp.geometry</t>
        </is>
      </c>
      <c r="J46" t="inlineStr">
        <is>
          <t>Geometry Bits per input point [bpip]</t>
        </is>
      </c>
    </row>
    <row r="47">
      <c r="I47" t="inlineStr">
        <is>
          <t>eqn.bpp.geometry+occ+patch</t>
        </is>
      </c>
      <c r="J47" t="inlineStr">
        <is>
          <t>Tot.Geom Bits per input point [bpip]</t>
        </is>
      </c>
    </row>
    <row r="48">
      <c r="I48" t="inlineStr">
        <is>
          <t>eqn.bpp.reflectance</t>
        </is>
      </c>
      <c r="J48" t="inlineStr">
        <is>
          <t>Reflectance Bits per input point [bpip]</t>
        </is>
      </c>
    </row>
    <row r="49">
      <c r="I49" t="inlineStr">
        <is>
          <t>eqn.compratio</t>
        </is>
      </c>
      <c r="J49" t="inlineStr">
        <is>
          <t>Comp. ratio [%]</t>
        </is>
      </c>
    </row>
  </sheetData>
  <conditionalFormatting sqref="B2">
    <cfRule type="expression" priority="1" dxfId="34">
      <formula>ISNA(MATCH(B2,OFFSET(M:M,2,MATCH(B1,M1:ZZ1,0)-1,COUNTA(INDEX(M:ZZ,,MATCH(B1,M1:ZZ1,0)))-2),0))</formula>
    </cfRule>
  </conditionalFormatting>
  <conditionalFormatting sqref="B4 D4 B5 D5 B6 D6 B7 D7 B8 D8 B9 D9 B10 D10">
    <cfRule type="expression" priority="2" dxfId="34">
      <formula>ISNA(MATCH(B4,filter_cols,0))</formula>
    </cfRule>
  </conditionalFormatting>
  <dataValidations count="3">
    <dataValidation sqref="B1" showErrorMessage="1" showInputMessage="1" allowBlank="1" type="list">
      <formula1>OFFSET(1:1,0,COLUMN(M1)-1,1,COUNTA(M1:ZZ1))</formula1>
    </dataValidation>
    <dataValidation sqref="B2" showErrorMessage="1" showInputMessage="1" allowBlank="1" type="list">
      <formula1>OFFSET(M:M,2,MATCH(B1,M1:ZZ1,0)-1,COUNTA(INDEX(M:ZZ,,MATCH(B1,M1:ZZ1,0)))-2)</formula1>
    </dataValidation>
    <dataValidation sqref="B4:B10 D4:D10" showErrorMessage="1" showInputMessage="1" allowBlank="1" type="list">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sheetPr>
    <outlinePr summaryBelow="0"/>
    <pageSetUpPr/>
  </sheetPr>
  <dimension ref="A1:T18"/>
  <sheetViews>
    <sheetView workbookViewId="0">
      <pane xSplit="2" ySplit="4" topLeftCell="C5" activePane="bottomRight" state="frozen"/>
      <selection pane="topRight" activeCell="C1" sqref="C1"/>
      <selection pane="bottomLeft" activeCell="A5" sqref="A5"/>
      <selection pane="bottomRight" activeCell="J5" sqref="J5:J12"/>
    </sheetView>
  </sheetViews>
  <sheetFormatPr baseColWidth="8" defaultColWidth="9.140625" defaultRowHeight="15"/>
  <cols>
    <col width="24.7109375" customWidth="1" style="5" min="2" max="2"/>
    <col width="10.7109375" customWidth="1" style="5" min="3" max="4"/>
    <col width="1.7109375" customWidth="1" style="5" min="7" max="7"/>
    <col width="10.7109375" customWidth="1" style="5" min="9" max="9"/>
    <col width="12.7109375" customWidth="1" style="5" min="10" max="10"/>
    <col width="1.7109375" customWidth="1" style="5" min="13" max="13"/>
    <col width="10.7109375" customWidth="1" style="5" min="15" max="15"/>
    <col width="12.7109375" customWidth="1" style="5" min="16" max="16"/>
    <col width="1.7109375" customWidth="1" style="5" min="19" max="19"/>
    <col width="1.7109375" customWidth="1" style="5" min="21" max="21"/>
  </cols>
  <sheetData>
    <row r="1">
      <c r="A1" s="71" t="inlineStr">
        <is>
          <t>C0_ai — lossless geometry, lossless attributes [all intra]</t>
        </is>
      </c>
      <c r="H1" s="61" t="inlineStr">
        <is>
          <t>anchor</t>
        </is>
      </c>
      <c r="N1" s="62" t="inlineStr">
        <is>
          <t>proposal</t>
        </is>
      </c>
    </row>
    <row r="2" ht="30" customHeight="1" s="5">
      <c r="A2" s="70" t="inlineStr">
        <is>
          <t>Class</t>
        </is>
      </c>
      <c r="B2" s="69" t="inlineStr">
        <is>
          <t>Sequence</t>
        </is>
      </c>
      <c r="C2" s="70" t="inlineStr">
        <is>
          <t>№ input faces</t>
        </is>
      </c>
      <c r="D2" s="69" t="inlineStr">
        <is>
          <t>Geometry precision [bits]</t>
        </is>
      </c>
      <c r="E2" s="70" t="inlineStr">
        <is>
          <t>№ frames</t>
        </is>
      </c>
      <c r="F2" s="69" t="inlineStr">
        <is>
          <t>Frame rate [fps]</t>
        </is>
      </c>
      <c r="H2" s="70" t="inlineStr">
        <is>
          <t>Rate [Mbps]</t>
        </is>
      </c>
      <c r="I2" s="69" t="inlineStr">
        <is>
          <t>Total Bits per input face [bpif]</t>
        </is>
      </c>
      <c r="J2" s="70" t="inlineStr">
        <is>
          <t>Total Bitstream [bits]</t>
        </is>
      </c>
      <c r="K2" s="69" t="inlineStr">
        <is>
          <t>User Encoder runtime [s]</t>
        </is>
      </c>
      <c r="L2" s="70" t="inlineStr">
        <is>
          <t>User Decoder runtime [s]</t>
        </is>
      </c>
      <c r="N2" s="69" t="inlineStr">
        <is>
          <t>Rate [Mbps]</t>
        </is>
      </c>
      <c r="O2" s="70" t="inlineStr">
        <is>
          <t>Total Bits per input face [bpif]</t>
        </is>
      </c>
      <c r="P2" s="69" t="inlineStr">
        <is>
          <t>Total Bitstream [bits]</t>
        </is>
      </c>
      <c r="Q2" s="70" t="inlineStr">
        <is>
          <t>User Encoder runtime [s]</t>
        </is>
      </c>
      <c r="R2" s="69" t="inlineStr">
        <is>
          <t>User Decoder runtime [s]</t>
        </is>
      </c>
      <c r="T2" s="70" t="inlineStr">
        <is>
          <t>Total bpif ratio [%]</t>
        </is>
      </c>
    </row>
    <row r="3">
      <c r="A3" s="10" t="n"/>
      <c r="B3" s="10" t="n"/>
      <c r="C3" s="10" t="n"/>
      <c r="D3" s="10" t="n"/>
      <c r="E3" s="10" t="n"/>
      <c r="F3" s="10" t="n"/>
      <c r="H3" s="10" t="n"/>
      <c r="I3" s="10" t="n"/>
      <c r="J3" s="10" t="n"/>
      <c r="K3" s="10" t="n"/>
      <c r="L3" s="10" t="n"/>
      <c r="N3" s="10" t="n"/>
      <c r="O3" s="10" t="n"/>
      <c r="P3" s="10" t="n"/>
      <c r="Q3" s="10" t="n"/>
      <c r="R3" s="10" t="n"/>
      <c r="T3" s="10" t="n"/>
    </row>
    <row r="4" hidden="1" ht="48" customHeight="1" s="5">
      <c r="A4" s="16" t="inlineStr">
        <is>
          <t>class</t>
        </is>
      </c>
      <c r="B4" s="17" t="inlineStr">
        <is>
          <t>sequence</t>
        </is>
      </c>
      <c r="C4" s="16" t="inlineStr">
        <is>
          <t>src.numfaces</t>
        </is>
      </c>
      <c r="D4" s="17" t="inlineStr">
        <is>
          <t>src.geometry-precision</t>
        </is>
      </c>
      <c r="E4" s="16" t="inlineStr">
        <is>
          <t>src.framecount</t>
        </is>
      </c>
      <c r="F4" s="17" t="inlineStr">
        <is>
          <t>src.framerate</t>
        </is>
      </c>
      <c r="H4" s="16" t="inlineStr">
        <is>
          <t>A.eqn.bitrate</t>
        </is>
      </c>
      <c r="I4" s="17" t="inlineStr">
        <is>
          <t>A.eqn.bpf</t>
        </is>
      </c>
      <c r="J4" s="16" t="inlineStr">
        <is>
          <t>A.enc.ext.bits</t>
        </is>
      </c>
      <c r="K4" s="17" t="inlineStr">
        <is>
          <t>A.enc.utime</t>
        </is>
      </c>
      <c r="L4" s="16" t="inlineStr">
        <is>
          <t>A.dec.utime</t>
        </is>
      </c>
      <c r="N4" s="17" t="inlineStr">
        <is>
          <t>B.eqn.bitrate</t>
        </is>
      </c>
      <c r="O4" s="16" t="inlineStr">
        <is>
          <t>B.eqn.bpf</t>
        </is>
      </c>
      <c r="P4" s="17" t="inlineStr">
        <is>
          <t>B.enc.ext.bits</t>
        </is>
      </c>
      <c r="Q4" s="16" t="inlineStr">
        <is>
          <t>B.enc.utime</t>
        </is>
      </c>
      <c r="R4" s="17" t="inlineStr">
        <is>
          <t>B.dec.utime</t>
        </is>
      </c>
      <c r="T4" s="16" t="inlineStr">
        <is>
          <t>eqn.ab.ratio-bpf</t>
        </is>
      </c>
    </row>
    <row r="5" collapsed="1" s="5">
      <c r="A5" s="74" t="inlineStr">
        <is>
          <t>cat1-A</t>
        </is>
      </c>
      <c r="B5" s="74" t="inlineStr">
        <is>
          <t>longdress_voxelised</t>
        </is>
      </c>
      <c r="C5" s="74" t="n">
        <v>11997440</v>
      </c>
      <c r="D5" s="19" t="n">
        <v>10</v>
      </c>
      <c r="E5" s="20" t="n">
        <v>4</v>
      </c>
      <c r="F5" s="20" t="n">
        <v>30</v>
      </c>
      <c r="H5" s="21">
        <f>IF(OR(ISBLANK(J5),ISBLANK(F5)),"·",J5*F5/E5/1000000)</f>
        <v/>
      </c>
      <c r="I5" s="22">
        <f>IF(ISBLANK(J5),"·",J5/C5)</f>
        <v/>
      </c>
      <c r="J5" s="23" t="n"/>
      <c r="K5" s="24" t="n"/>
      <c r="L5" s="24" t="n"/>
      <c r="N5" s="21">
        <f>IF(OR(ISBLANK(P5),ISBLANK(F5)),"·",P5*F5/E5/1000000)</f>
        <v/>
      </c>
      <c r="O5" s="22">
        <f>IF(ISBLANK(P5),"·",P5/C5)</f>
        <v/>
      </c>
      <c r="P5" s="23" t="n"/>
      <c r="Q5" s="24" t="n"/>
      <c r="R5" s="24" t="n"/>
      <c r="T5" s="25">
        <f>O5/I5</f>
        <v/>
      </c>
    </row>
    <row r="6" collapsed="1" s="5">
      <c r="A6" s="26" t="n"/>
      <c r="B6" s="26" t="inlineStr">
        <is>
          <t>soldier_voxelised</t>
        </is>
      </c>
      <c r="C6" s="26" t="n">
        <v>9000000</v>
      </c>
      <c r="D6" s="27" t="n">
        <v>10</v>
      </c>
      <c r="E6" s="28" t="n">
        <v>4</v>
      </c>
      <c r="F6" s="28" t="n">
        <v>30</v>
      </c>
      <c r="H6" s="29">
        <f>IF(OR(ISBLANK(J6),ISBLANK(F6)),"·",J6*F6/E6/1000000)</f>
        <v/>
      </c>
      <c r="I6" s="30">
        <f>IF(ISBLANK(J6),"·",J6/C6)</f>
        <v/>
      </c>
      <c r="J6" s="31" t="n"/>
      <c r="K6" s="32" t="n"/>
      <c r="L6" s="32" t="n"/>
      <c r="N6" s="29">
        <f>IF(OR(ISBLANK(P6),ISBLANK(F6)),"·",P6*F6/E6/1000000)</f>
        <v/>
      </c>
      <c r="O6" s="30">
        <f>IF(ISBLANK(P6),"·",P6/C6)</f>
        <v/>
      </c>
      <c r="P6" s="31" t="n"/>
      <c r="Q6" s="32" t="n"/>
      <c r="R6" s="32" t="n"/>
      <c r="T6" s="33">
        <f>O6/I6</f>
        <v/>
      </c>
    </row>
    <row r="7" collapsed="1" s="5">
      <c r="A7" s="74" t="inlineStr">
        <is>
          <t>cat1-B</t>
        </is>
      </c>
      <c r="B7" s="74" t="inlineStr">
        <is>
          <t>basketball_player_voxelised</t>
        </is>
      </c>
      <c r="C7" s="74" t="n">
        <v>11842002</v>
      </c>
      <c r="D7" s="19" t="n">
        <v>12</v>
      </c>
      <c r="E7" s="20" t="n">
        <v>4</v>
      </c>
      <c r="F7" s="20" t="n">
        <v>30</v>
      </c>
      <c r="H7" s="21">
        <f>IF(OR(ISBLANK(J7),ISBLANK(F7)),"·",J7*F7/E7/1000000)</f>
        <v/>
      </c>
      <c r="I7" s="22">
        <f>IF(ISBLANK(J7),"·",J7/C7)</f>
        <v/>
      </c>
      <c r="J7" s="23" t="n"/>
      <c r="K7" s="24" t="n"/>
      <c r="L7" s="24" t="n"/>
      <c r="N7" s="21">
        <f>IF(OR(ISBLANK(P7),ISBLANK(F7)),"·",P7*F7/E7/1000000)</f>
        <v/>
      </c>
      <c r="O7" s="22">
        <f>IF(ISBLANK(P7),"·",P7/C7)</f>
        <v/>
      </c>
      <c r="P7" s="23" t="n"/>
      <c r="Q7" s="24" t="n"/>
      <c r="R7" s="24" t="n"/>
      <c r="T7" s="25">
        <f>O7/I7</f>
        <v/>
      </c>
    </row>
    <row r="8" collapsed="1" s="5">
      <c r="A8" s="26" t="n"/>
      <c r="B8" s="26" t="inlineStr">
        <is>
          <t>dancer_voxelised</t>
        </is>
      </c>
      <c r="C8" s="26" t="n">
        <v>11812090</v>
      </c>
      <c r="D8" s="27" t="n">
        <v>12</v>
      </c>
      <c r="E8" s="28" t="n">
        <v>4</v>
      </c>
      <c r="F8" s="28" t="n">
        <v>50</v>
      </c>
      <c r="H8" s="29">
        <f>IF(OR(ISBLANK(J8),ISBLANK(F8)),"·",J8*F8/E8/1000000)</f>
        <v/>
      </c>
      <c r="I8" s="30">
        <f>IF(ISBLANK(J8),"·",J8/C8)</f>
        <v/>
      </c>
      <c r="J8" s="31" t="n"/>
      <c r="K8" s="32" t="n"/>
      <c r="L8" s="32" t="n"/>
      <c r="N8" s="29">
        <f>IF(OR(ISBLANK(P8),ISBLANK(F8)),"·",P8*F8/E8/1000000)</f>
        <v/>
      </c>
      <c r="O8" s="30">
        <f>IF(ISBLANK(P8),"·",P8/C8)</f>
        <v/>
      </c>
      <c r="P8" s="31" t="n"/>
      <c r="Q8" s="32" t="n"/>
      <c r="R8" s="32" t="n"/>
      <c r="T8" s="33">
        <f>O8/I8</f>
        <v/>
      </c>
    </row>
    <row r="9" collapsed="1" s="5">
      <c r="A9" s="74" t="inlineStr">
        <is>
          <t>cat1-C</t>
        </is>
      </c>
      <c r="B9" s="74" t="inlineStr">
        <is>
          <t>football_voxelised</t>
        </is>
      </c>
      <c r="C9" s="74" t="n">
        <v>12000000</v>
      </c>
      <c r="D9" s="19" t="n">
        <v>12</v>
      </c>
      <c r="E9" s="20" t="n">
        <v>4</v>
      </c>
      <c r="F9" s="20" t="n">
        <v>30</v>
      </c>
      <c r="H9" s="21">
        <f>IF(OR(ISBLANK(J9),ISBLANK(F9)),"·",J9*F9/E9/1000000)</f>
        <v/>
      </c>
      <c r="I9" s="22">
        <f>IF(ISBLANK(J9),"·",J9/C9)</f>
        <v/>
      </c>
      <c r="J9" s="23" t="n"/>
      <c r="K9" s="24" t="n"/>
      <c r="L9" s="24" t="n"/>
      <c r="N9" s="21">
        <f>IF(OR(ISBLANK(P9),ISBLANK(F9)),"·",P9*F9/E9/1000000)</f>
        <v/>
      </c>
      <c r="O9" s="22">
        <f>IF(ISBLANK(P9),"·",P9/C9)</f>
        <v/>
      </c>
      <c r="P9" s="23" t="n"/>
      <c r="Q9" s="24" t="n"/>
      <c r="R9" s="24" t="n"/>
      <c r="T9" s="25">
        <f>O9/I9</f>
        <v/>
      </c>
    </row>
    <row r="10" collapsed="1" s="5">
      <c r="A10" s="75" t="n"/>
      <c r="B10" s="75" t="inlineStr">
        <is>
          <t>levi_voxelised</t>
        </is>
      </c>
      <c r="C10" s="75" t="n">
        <v>5997654</v>
      </c>
      <c r="D10" s="35" t="n">
        <v>12</v>
      </c>
      <c r="E10" s="36" t="n">
        <v>4</v>
      </c>
      <c r="F10" s="36" t="n">
        <v>30</v>
      </c>
      <c r="H10" s="37">
        <f>IF(OR(ISBLANK(J10),ISBLANK(F10)),"·",J10*F10/E10/1000000)</f>
        <v/>
      </c>
      <c r="I10" s="38">
        <f>IF(ISBLANK(J10),"·",J10/C10)</f>
        <v/>
      </c>
      <c r="J10" s="39" t="n"/>
      <c r="K10" s="40" t="n"/>
      <c r="L10" s="40" t="n"/>
      <c r="N10" s="37">
        <f>IF(OR(ISBLANK(P10),ISBLANK(F10)),"·",P10*F10/E10/1000000)</f>
        <v/>
      </c>
      <c r="O10" s="38">
        <f>IF(ISBLANK(P10),"·",P10/C10)</f>
        <v/>
      </c>
      <c r="P10" s="39" t="n"/>
      <c r="Q10" s="40" t="n"/>
      <c r="R10" s="40" t="n"/>
      <c r="T10" s="41">
        <f>O10/I10</f>
        <v/>
      </c>
    </row>
    <row r="11" collapsed="1" s="5">
      <c r="A11" s="74" t="n"/>
      <c r="B11" s="74" t="inlineStr">
        <is>
          <t>mitch_voxelised</t>
        </is>
      </c>
      <c r="C11" s="74" t="n">
        <v>9000000</v>
      </c>
      <c r="D11" s="19" t="n">
        <v>12</v>
      </c>
      <c r="E11" s="20" t="n">
        <v>4</v>
      </c>
      <c r="F11" s="20" t="n">
        <v>30</v>
      </c>
      <c r="H11" s="21">
        <f>IF(OR(ISBLANK(J11),ISBLANK(F11)),"·",J11*F11/E11/1000000)</f>
        <v/>
      </c>
      <c r="I11" s="22">
        <f>IF(ISBLANK(J11),"·",J11/C11)</f>
        <v/>
      </c>
      <c r="J11" s="23" t="n"/>
      <c r="K11" s="24" t="n"/>
      <c r="L11" s="24" t="n"/>
      <c r="N11" s="21">
        <f>IF(OR(ISBLANK(P11),ISBLANK(F11)),"·",P11*F11/E11/1000000)</f>
        <v/>
      </c>
      <c r="O11" s="22">
        <f>IF(ISBLANK(P11),"·",P11/C11)</f>
        <v/>
      </c>
      <c r="P11" s="23" t="n"/>
      <c r="Q11" s="24" t="n"/>
      <c r="R11" s="24" t="n"/>
      <c r="T11" s="25">
        <f>O11/I11</f>
        <v/>
      </c>
    </row>
    <row r="12" collapsed="1" s="5">
      <c r="A12" s="26" t="n"/>
      <c r="B12" s="26" t="inlineStr">
        <is>
          <t>thomas_voxelised</t>
        </is>
      </c>
      <c r="C12" s="26" t="n">
        <v>9000000</v>
      </c>
      <c r="D12" s="27" t="n">
        <v>12</v>
      </c>
      <c r="E12" s="28" t="n">
        <v>4</v>
      </c>
      <c r="F12" s="28" t="n">
        <v>30</v>
      </c>
      <c r="H12" s="29">
        <f>IF(OR(ISBLANK(J12),ISBLANK(F12)),"·",J12*F12/E12/1000000)</f>
        <v/>
      </c>
      <c r="I12" s="30">
        <f>IF(ISBLANK(J12),"·",J12/C12)</f>
        <v/>
      </c>
      <c r="J12" s="31" t="n"/>
      <c r="K12" s="32" t="n"/>
      <c r="L12" s="32" t="n"/>
      <c r="N12" s="29">
        <f>IF(OR(ISBLANK(P12),ISBLANK(F12)),"·",P12*F12/E12/1000000)</f>
        <v/>
      </c>
      <c r="O12" s="30">
        <f>IF(ISBLANK(P12),"·",P12/C12)</f>
        <v/>
      </c>
      <c r="P12" s="31" t="n"/>
      <c r="Q12" s="32" t="n"/>
      <c r="R12" s="32" t="n"/>
      <c r="T12" s="33">
        <f>O12/I12</f>
        <v/>
      </c>
    </row>
    <row r="13">
      <c r="B13" s="42" t="inlineStr">
        <is>
          <t>Cat1-A average</t>
        </is>
      </c>
      <c r="I13" s="43">
        <f>AVERAGE(I5:I6)</f>
        <v/>
      </c>
      <c r="O13" s="43">
        <f>AVERAGE(O5:O6)</f>
        <v/>
      </c>
      <c r="T13" s="6">
        <f>O13/I13</f>
        <v/>
      </c>
    </row>
    <row r="14">
      <c r="B14" s="42" t="inlineStr">
        <is>
          <t>Cat1-B average</t>
        </is>
      </c>
      <c r="I14" s="43">
        <f>AVERAGE(I7:I8)</f>
        <v/>
      </c>
      <c r="O14" s="43">
        <f>AVERAGE(O7:O8)</f>
        <v/>
      </c>
      <c r="T14" s="6">
        <f>O14/I14</f>
        <v/>
      </c>
    </row>
    <row r="15">
      <c r="B15" s="42" t="inlineStr">
        <is>
          <t>Cat1-C average</t>
        </is>
      </c>
      <c r="I15" s="43">
        <f>AVERAGE(I9:I12)</f>
        <v/>
      </c>
      <c r="O15" s="43">
        <f>AVERAGE(O9:O12)</f>
        <v/>
      </c>
      <c r="T15" s="6">
        <f>O15/I15</f>
        <v/>
      </c>
    </row>
    <row r="16">
      <c r="B16" s="42" t="inlineStr">
        <is>
          <t>Overall average</t>
        </is>
      </c>
      <c r="I16" s="43">
        <f>AVERAGE(I5:I12)</f>
        <v/>
      </c>
      <c r="O16" s="43">
        <f>AVERAGE(O5:O12)</f>
        <v/>
      </c>
      <c r="T16" s="6">
        <f>O16/I16</f>
        <v/>
      </c>
    </row>
    <row r="17">
      <c r="A17" s="42" t="inlineStr">
        <is>
          <t>Overall</t>
        </is>
      </c>
      <c r="B17" s="42" t="inlineStr">
        <is>
          <t>Total time [s]</t>
        </is>
      </c>
      <c r="K17" s="44">
        <f>SUM(K5:K6,K7:K8,K9:K12)</f>
        <v/>
      </c>
      <c r="L17" s="44">
        <f>SUM(L5:L6,L7:L8,L9:L12)</f>
        <v/>
      </c>
      <c r="Q17" s="44">
        <f>SUM(Q5:Q6,Q7:Q8,Q9:Q12)</f>
        <v/>
      </c>
      <c r="R17" s="44">
        <f>SUM(R5:R6,R7:R8,R9:R12)</f>
        <v/>
      </c>
    </row>
    <row r="18">
      <c r="B18" s="42" t="inlineStr">
        <is>
          <t>Total time [%]</t>
        </is>
      </c>
      <c r="Q18" s="67">
        <f>Q17/K17</f>
        <v/>
      </c>
      <c r="R18" s="67">
        <f>R17/L17</f>
        <v/>
      </c>
    </row>
  </sheetData>
  <mergeCells count="20">
    <mergeCell ref="K2:K3"/>
    <mergeCell ref="A2:A3"/>
    <mergeCell ref="B2:B3"/>
    <mergeCell ref="C2:C3"/>
    <mergeCell ref="D2:D3"/>
    <mergeCell ref="E2:E3"/>
    <mergeCell ref="R2:R3"/>
    <mergeCell ref="T2:T3"/>
    <mergeCell ref="A1:F1"/>
    <mergeCell ref="H1:L1"/>
    <mergeCell ref="N1:R1"/>
    <mergeCell ref="L2:L3"/>
    <mergeCell ref="N2:N3"/>
    <mergeCell ref="O2:O3"/>
    <mergeCell ref="P2:P3"/>
    <mergeCell ref="Q2:Q3"/>
    <mergeCell ref="F2:F3"/>
    <mergeCell ref="H2:H3"/>
    <mergeCell ref="I2:I3"/>
    <mergeCell ref="J2:J3"/>
  </mergeCells>
  <conditionalFormatting sqref="T5 T6 T7 T8 T9 T10 T11 T12 T13 T14 T15 T16">
    <cfRule type="cellIs" priority="1" operator="greaterThanOrEqual" dxfId="3">
      <formula>1.03</formula>
    </cfRule>
    <cfRule type="cellIs" priority="2" operator="lessThanOrEqual" dxfId="2">
      <formula>0.97</formula>
    </cfRule>
  </conditionalFormatting>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N131"/>
  <sheetViews>
    <sheetView workbookViewId="0">
      <selection activeCell="A1" sqref="A1"/>
    </sheetView>
  </sheetViews>
  <sheetFormatPr baseColWidth="8" defaultColWidth="9.140625" defaultRowHeight="15"/>
  <cols>
    <col width="41.7109375" bestFit="1" customWidth="1" style="5" min="1" max="1"/>
  </cols>
  <sheetData>
    <row r="1">
      <c r="A1" t="inlineStr">
        <is>
          <t>col.C0 lossless AI.class</t>
        </is>
      </c>
      <c r="B1" t="n">
        <v>1</v>
      </c>
    </row>
    <row r="2">
      <c r="A2" t="inlineStr">
        <is>
          <t>col.C0 lossless AI.sequence</t>
        </is>
      </c>
      <c r="B2" t="n">
        <v>2</v>
      </c>
    </row>
    <row r="3">
      <c r="A3" t="inlineStr">
        <is>
          <t>col.C0 lossless AI.src.numfaces</t>
        </is>
      </c>
      <c r="B3" t="n">
        <v>3</v>
      </c>
    </row>
    <row r="4">
      <c r="A4" t="inlineStr">
        <is>
          <t>col.C0 lossless AI.src.geometry-precision</t>
        </is>
      </c>
      <c r="B4" t="n">
        <v>4</v>
      </c>
    </row>
    <row r="5">
      <c r="A5" t="inlineStr">
        <is>
          <t>col.C0 lossless AI.src.framecount</t>
        </is>
      </c>
      <c r="B5" t="n">
        <v>5</v>
      </c>
    </row>
    <row r="6">
      <c r="A6" t="inlineStr">
        <is>
          <t>col.C0 lossless AI.src.framerate</t>
        </is>
      </c>
      <c r="B6" t="n">
        <v>6</v>
      </c>
    </row>
    <row r="7">
      <c r="A7" t="inlineStr">
        <is>
          <t>col.C0 lossless AI.A.eqn.bitrate</t>
        </is>
      </c>
      <c r="B7" t="n">
        <v>8</v>
      </c>
    </row>
    <row r="8">
      <c r="A8" t="inlineStr">
        <is>
          <t>col.C0 lossless AI.A.eqn.bpf</t>
        </is>
      </c>
      <c r="B8" t="n">
        <v>9</v>
      </c>
    </row>
    <row r="9">
      <c r="A9" t="inlineStr">
        <is>
          <t>col.C0 lossless AI.A.enc.ext.bits</t>
        </is>
      </c>
      <c r="B9" t="n">
        <v>10</v>
      </c>
    </row>
    <row r="10">
      <c r="A10" t="inlineStr">
        <is>
          <t>col.C0 lossless AI.A.enc.utime</t>
        </is>
      </c>
      <c r="B10" t="n">
        <v>11</v>
      </c>
    </row>
    <row r="11">
      <c r="A11" t="inlineStr">
        <is>
          <t>col.C0 lossless AI.A.dec.utime</t>
        </is>
      </c>
      <c r="B11" t="n">
        <v>12</v>
      </c>
    </row>
    <row r="12">
      <c r="A12" t="inlineStr">
        <is>
          <t>col.C0 lossless AI.B.eqn.bitrate</t>
        </is>
      </c>
      <c r="B12" t="n">
        <v>14</v>
      </c>
    </row>
    <row r="13">
      <c r="A13" t="inlineStr">
        <is>
          <t>col.C0 lossless AI.B.eqn.bpf</t>
        </is>
      </c>
      <c r="B13" t="n">
        <v>15</v>
      </c>
    </row>
    <row r="14">
      <c r="A14" t="inlineStr">
        <is>
          <t>col.C0 lossless AI.B.enc.ext.bits</t>
        </is>
      </c>
      <c r="B14" t="n">
        <v>16</v>
      </c>
    </row>
    <row r="15">
      <c r="A15" t="inlineStr">
        <is>
          <t>col.C0 lossless AI.B.enc.utime</t>
        </is>
      </c>
      <c r="B15" t="n">
        <v>17</v>
      </c>
    </row>
    <row r="16">
      <c r="A16" t="inlineStr">
        <is>
          <t>col.C0 lossless AI.B.dec.utime</t>
        </is>
      </c>
      <c r="B16" t="n">
        <v>18</v>
      </c>
    </row>
    <row r="17">
      <c r="A17" t="inlineStr">
        <is>
          <t>col.C0 lossless AI.eqn.ab.ratio-bpf</t>
        </is>
      </c>
      <c r="B17" t="n">
        <v>20</v>
      </c>
    </row>
    <row r="18">
      <c r="A18" t="inlineStr">
        <is>
          <t>name.A.C0 lossless AI</t>
        </is>
      </c>
      <c r="B18" t="inlineStr">
        <is>
          <t>'C0 lossless AI'!$H$1</t>
        </is>
      </c>
    </row>
    <row r="19">
      <c r="A19" t="inlineStr">
        <is>
          <t>name.B.C0 lossless AI</t>
        </is>
      </c>
      <c r="B19" t="inlineStr">
        <is>
          <t>'C0 lossless AI'!$N$1</t>
        </is>
      </c>
    </row>
    <row r="20">
      <c r="A20" t="inlineStr">
        <is>
          <t>range.C0 lossless AI.longdress_voxelised</t>
        </is>
      </c>
      <c r="B20" t="inlineStr">
        <is>
          <t>'C0 lossless AI'!$A$5:$T$5</t>
        </is>
      </c>
    </row>
    <row r="21">
      <c r="A21" t="inlineStr">
        <is>
          <t>range.C0 lossless AI.soldier_voxelised</t>
        </is>
      </c>
      <c r="B21" t="inlineStr">
        <is>
          <t>'C0 lossless AI'!$A$6:$T$6</t>
        </is>
      </c>
    </row>
    <row r="22">
      <c r="A22" t="inlineStr">
        <is>
          <t>range.C0 lossless AI.basketball_player_voxelised</t>
        </is>
      </c>
      <c r="B22" t="inlineStr">
        <is>
          <t>'C0 lossless AI'!$A$7:$T$7</t>
        </is>
      </c>
    </row>
    <row r="23">
      <c r="A23" t="inlineStr">
        <is>
          <t>range.C0 lossless AI.dancer_voxelised</t>
        </is>
      </c>
      <c r="B23" t="inlineStr">
        <is>
          <t>'C0 lossless AI'!$A$8:$T$8</t>
        </is>
      </c>
    </row>
    <row r="24">
      <c r="A24" t="inlineStr">
        <is>
          <t>range.C0 lossless AI.football_voxelised</t>
        </is>
      </c>
      <c r="B24" t="inlineStr">
        <is>
          <t>'C0 lossless AI'!$A$9:$T$9</t>
        </is>
      </c>
    </row>
    <row r="25">
      <c r="A25" t="inlineStr">
        <is>
          <t>range.C0 lossless AI.levi_voxelised</t>
        </is>
      </c>
      <c r="B25" t="inlineStr">
        <is>
          <t>'C0 lossless AI'!$A$10:$T$10</t>
        </is>
      </c>
    </row>
    <row r="26">
      <c r="A26" t="inlineStr">
        <is>
          <t>range.C0 lossless AI.mitch_voxelised</t>
        </is>
      </c>
      <c r="B26" t="inlineStr">
        <is>
          <t>'C0 lossless AI'!$A$11:$T$11</t>
        </is>
      </c>
    </row>
    <row r="27">
      <c r="A27" t="inlineStr">
        <is>
          <t>range.C0 lossless AI.thomas_voxelised</t>
        </is>
      </c>
      <c r="B27" t="inlineStr">
        <is>
          <t>'C0 lossless AI'!$A$12:$T$12</t>
        </is>
      </c>
    </row>
    <row r="28">
      <c r="A28" t="inlineStr">
        <is>
          <t>col.C1 lossy AI.class</t>
        </is>
      </c>
      <c r="B28" t="n">
        <v>1</v>
      </c>
    </row>
    <row r="29">
      <c r="A29" t="inlineStr">
        <is>
          <t>col.C1 lossy AI.sequence</t>
        </is>
      </c>
      <c r="B29" t="n">
        <v>2</v>
      </c>
    </row>
    <row r="30">
      <c r="A30" t="inlineStr">
        <is>
          <t>col.C1 lossy AI.variant</t>
        </is>
      </c>
      <c r="B30" t="n">
        <v>3</v>
      </c>
    </row>
    <row r="31">
      <c r="A31" t="inlineStr">
        <is>
          <t>col.C1 lossy AI.src.numfaces</t>
        </is>
      </c>
      <c r="B31" t="n">
        <v>4</v>
      </c>
    </row>
    <row r="32">
      <c r="A32" t="inlineStr">
        <is>
          <t>col.C1 lossy AI.src.geometry-precision</t>
        </is>
      </c>
      <c r="B32" t="n">
        <v>5</v>
      </c>
    </row>
    <row r="33">
      <c r="A33" t="inlineStr">
        <is>
          <t>col.C1 lossy AI.src.framecount</t>
        </is>
      </c>
      <c r="B33" t="n">
        <v>6</v>
      </c>
    </row>
    <row r="34">
      <c r="A34" t="inlineStr">
        <is>
          <t>col.C1 lossy AI.src.framerate</t>
        </is>
      </c>
      <c r="B34" t="n">
        <v>7</v>
      </c>
    </row>
    <row r="35">
      <c r="A35" t="inlineStr">
        <is>
          <t>col.C1 lossy AI.ctc.targetrate</t>
        </is>
      </c>
      <c r="B35" t="n">
        <v>8</v>
      </c>
    </row>
    <row r="36">
      <c r="A36" t="inlineStr">
        <is>
          <t>col.C1 lossy AI.A.eqn.bitrate</t>
        </is>
      </c>
      <c r="B36" t="n">
        <v>10</v>
      </c>
    </row>
    <row r="37">
      <c r="A37" t="inlineStr">
        <is>
          <t>col.C1 lossy AI.A.eqn.bpf</t>
        </is>
      </c>
      <c r="B37" t="n">
        <v>11</v>
      </c>
    </row>
    <row r="38">
      <c r="A38" t="inlineStr">
        <is>
          <t>col.C1 lossy AI.A.dec.numfaces</t>
        </is>
      </c>
      <c r="B38" t="n">
        <v>12</v>
      </c>
    </row>
    <row r="39">
      <c r="A39" t="inlineStr">
        <is>
          <t>col.C1 lossy AI.A.enc.ext.bits</t>
        </is>
      </c>
      <c r="B39" t="n">
        <v>13</v>
      </c>
    </row>
    <row r="40">
      <c r="A40" t="inlineStr">
        <is>
          <t>col.C1 lossy AI.A.dec.pc-d1-psnr</t>
        </is>
      </c>
      <c r="B40" t="n">
        <v>14</v>
      </c>
    </row>
    <row r="41">
      <c r="A41" t="inlineStr">
        <is>
          <t>col.C1 lossy AI.A.dec.pc-d2-psnr</t>
        </is>
      </c>
      <c r="B41" t="n">
        <v>15</v>
      </c>
    </row>
    <row r="42">
      <c r="A42" t="inlineStr">
        <is>
          <t>col.C1 lossy AI.A.dec.pc-y-psnr</t>
        </is>
      </c>
      <c r="B42" t="n">
        <v>16</v>
      </c>
    </row>
    <row r="43">
      <c r="A43" t="inlineStr">
        <is>
          <t>col.C1 lossy AI.A.dec.pc-cb-psnr</t>
        </is>
      </c>
      <c r="B43" t="n">
        <v>17</v>
      </c>
    </row>
    <row r="44">
      <c r="A44" t="inlineStr">
        <is>
          <t>col.C1 lossy AI.A.dec.pc-cr-psnr</t>
        </is>
      </c>
      <c r="B44" t="n">
        <v>18</v>
      </c>
    </row>
    <row r="45">
      <c r="A45" t="inlineStr">
        <is>
          <t>col.C1 lossy AI.A.dec.img-geom-psnr</t>
        </is>
      </c>
      <c r="B45" t="n">
        <v>19</v>
      </c>
    </row>
    <row r="46">
      <c r="A46" t="inlineStr">
        <is>
          <t>col.C1 lossy AI.A.dec.img-y-psnr</t>
        </is>
      </c>
      <c r="B46" t="n">
        <v>20</v>
      </c>
    </row>
    <row r="47">
      <c r="A47" t="inlineStr">
        <is>
          <t>col.C1 lossy AI.A.enc.utime</t>
        </is>
      </c>
      <c r="B47" t="n">
        <v>21</v>
      </c>
    </row>
    <row r="48">
      <c r="A48" t="inlineStr">
        <is>
          <t>col.C1 lossy AI.A.dec.utime</t>
        </is>
      </c>
      <c r="B48" t="n">
        <v>22</v>
      </c>
    </row>
    <row r="49">
      <c r="A49" t="inlineStr">
        <is>
          <t>col.C1 lossy AI.B.eqn.bitrate</t>
        </is>
      </c>
      <c r="B49" t="n">
        <v>24</v>
      </c>
    </row>
    <row r="50">
      <c r="A50" t="inlineStr">
        <is>
          <t>col.C1 lossy AI.B.eqn.bpf</t>
        </is>
      </c>
      <c r="B50" t="n">
        <v>25</v>
      </c>
    </row>
    <row r="51">
      <c r="A51" t="inlineStr">
        <is>
          <t>col.C1 lossy AI.B.dec.numfaces</t>
        </is>
      </c>
      <c r="B51" t="n">
        <v>26</v>
      </c>
    </row>
    <row r="52">
      <c r="A52" t="inlineStr">
        <is>
          <t>col.C1 lossy AI.B.enc.ext.bits</t>
        </is>
      </c>
      <c r="B52" t="n">
        <v>27</v>
      </c>
    </row>
    <row r="53">
      <c r="A53" t="inlineStr">
        <is>
          <t>col.C1 lossy AI.B.dec.pc-d1-psnr</t>
        </is>
      </c>
      <c r="B53" t="n">
        <v>28</v>
      </c>
    </row>
    <row r="54">
      <c r="A54" t="inlineStr">
        <is>
          <t>col.C1 lossy AI.B.dec.pc-d2-psnr</t>
        </is>
      </c>
      <c r="B54" t="n">
        <v>29</v>
      </c>
    </row>
    <row r="55">
      <c r="A55" t="inlineStr">
        <is>
          <t>col.C1 lossy AI.B.dec.pc-y-psnr</t>
        </is>
      </c>
      <c r="B55" t="n">
        <v>30</v>
      </c>
    </row>
    <row r="56">
      <c r="A56" t="inlineStr">
        <is>
          <t>col.C1 lossy AI.B.dec.pc-cb-psnr</t>
        </is>
      </c>
      <c r="B56" t="n">
        <v>31</v>
      </c>
    </row>
    <row r="57">
      <c r="A57" t="inlineStr">
        <is>
          <t>col.C1 lossy AI.B.dec.pc-cr-psnr</t>
        </is>
      </c>
      <c r="B57" t="n">
        <v>32</v>
      </c>
    </row>
    <row r="58">
      <c r="A58" t="inlineStr">
        <is>
          <t>col.C1 lossy AI.B.dec.img-geom-psnr</t>
        </is>
      </c>
      <c r="B58" t="n">
        <v>33</v>
      </c>
    </row>
    <row r="59">
      <c r="A59" t="inlineStr">
        <is>
          <t>col.C1 lossy AI.B.dec.img-y-psnr</t>
        </is>
      </c>
      <c r="B59" t="n">
        <v>34</v>
      </c>
    </row>
    <row r="60">
      <c r="A60" t="inlineStr">
        <is>
          <t>col.C1 lossy AI.B.enc.utime</t>
        </is>
      </c>
      <c r="B60" t="n">
        <v>35</v>
      </c>
    </row>
    <row r="61">
      <c r="A61" t="inlineStr">
        <is>
          <t>col.C1 lossy AI.B.dec.utime</t>
        </is>
      </c>
      <c r="B61" t="n">
        <v>36</v>
      </c>
    </row>
    <row r="62">
      <c r="A62" t="inlineStr">
        <is>
          <t>col.C1 lossy AI.eqn.ab.bdrate-pc-d1</t>
        </is>
      </c>
      <c r="B62" t="n">
        <v>38</v>
      </c>
    </row>
    <row r="63">
      <c r="A63" t="inlineStr">
        <is>
          <t>col.C1 lossy AI.eqn.ab.bdrate-pc-d2</t>
        </is>
      </c>
      <c r="B63" t="n">
        <v>39</v>
      </c>
    </row>
    <row r="64">
      <c r="A64" t="inlineStr">
        <is>
          <t>col.C1 lossy AI.eqn.ab.bdrate-pc-y</t>
        </is>
      </c>
      <c r="B64" t="n">
        <v>40</v>
      </c>
    </row>
    <row r="65">
      <c r="A65" t="inlineStr">
        <is>
          <t>col.C1 lossy AI.eqn.ab.bdrate-pc-cb</t>
        </is>
      </c>
      <c r="B65" t="n">
        <v>41</v>
      </c>
    </row>
    <row r="66">
      <c r="A66" t="inlineStr">
        <is>
          <t>col.C1 lossy AI.eqn.ab.bdrate-pc-cr</t>
        </is>
      </c>
      <c r="B66" t="n">
        <v>42</v>
      </c>
    </row>
    <row r="67">
      <c r="A67" t="inlineStr">
        <is>
          <t>col.C1 lossy AI.eqn.ab.bdrate-img-geom</t>
        </is>
      </c>
      <c r="B67" t="n">
        <v>43</v>
      </c>
    </row>
    <row r="68">
      <c r="A68" t="inlineStr">
        <is>
          <t>col.C1 lossy AI.eqn.ab.bdrate-img-y</t>
        </is>
      </c>
      <c r="B68" t="n">
        <v>44</v>
      </c>
    </row>
    <row r="69">
      <c r="A69" t="inlineStr">
        <is>
          <t>name.A.C1 lossy AI</t>
        </is>
      </c>
      <c r="B69" t="inlineStr">
        <is>
          <t>'C1 lossy AI'!$J$1</t>
        </is>
      </c>
    </row>
    <row r="70">
      <c r="A70" t="inlineStr">
        <is>
          <t>name.B.C1 lossy AI</t>
        </is>
      </c>
      <c r="B70" t="inlineStr">
        <is>
          <t>'C1 lossy AI'!$X$1</t>
        </is>
      </c>
    </row>
    <row r="71">
      <c r="A71" t="inlineStr">
        <is>
          <t>range.C1 lossy AI.longdress_voxelised</t>
        </is>
      </c>
      <c r="B71" t="inlineStr">
        <is>
          <t>'C1 lossy AI'!$A$5:$AR$9</t>
        </is>
      </c>
    </row>
    <row r="72">
      <c r="A72" t="inlineStr">
        <is>
          <t>range.C1 lossy AI.soldier_voxelised</t>
        </is>
      </c>
      <c r="B72" t="inlineStr">
        <is>
          <t>'C1 lossy AI'!$A$10:$AR$14</t>
        </is>
      </c>
    </row>
    <row r="73">
      <c r="A73" t="inlineStr">
        <is>
          <t>range.C1 lossy AI.basketball_player_voxelised</t>
        </is>
      </c>
      <c r="B73" t="inlineStr">
        <is>
          <t>'C1 lossy AI'!$A$15:$AR$19</t>
        </is>
      </c>
    </row>
    <row r="74">
      <c r="A74" t="inlineStr">
        <is>
          <t>range.C1 lossy AI.dancer_voxelised</t>
        </is>
      </c>
      <c r="B74" t="inlineStr">
        <is>
          <t>'C1 lossy AI'!$A$20:$AR$24</t>
        </is>
      </c>
    </row>
    <row r="75">
      <c r="A75" t="inlineStr">
        <is>
          <t>range.C1 lossy AI.football_voxelised</t>
        </is>
      </c>
      <c r="B75" t="inlineStr">
        <is>
          <t>'C1 lossy AI'!$A$25:$AR$29</t>
        </is>
      </c>
    </row>
    <row r="76">
      <c r="A76" t="inlineStr">
        <is>
          <t>range.C1 lossy AI.levi_voxelised</t>
        </is>
      </c>
      <c r="B76" t="inlineStr">
        <is>
          <t>'C1 lossy AI'!$A$30:$AR$34</t>
        </is>
      </c>
    </row>
    <row r="77">
      <c r="A77" t="inlineStr">
        <is>
          <t>range.C1 lossy AI.mitch_voxelised</t>
        </is>
      </c>
      <c r="B77" t="inlineStr">
        <is>
          <t>'C1 lossy AI'!$A$35:$AR$39</t>
        </is>
      </c>
    </row>
    <row r="78">
      <c r="A78" t="inlineStr">
        <is>
          <t>range.C1 lossy AI.thomas_voxelised</t>
        </is>
      </c>
      <c r="B78" t="inlineStr">
        <is>
          <t>'C1 lossy AI'!$A$40:$AR$44</t>
        </is>
      </c>
    </row>
    <row r="79">
      <c r="A79" t="inlineStr">
        <is>
          <t>cols.C1 lossy AI</t>
        </is>
      </c>
      <c r="B79" t="inlineStr">
        <is>
          <t>dec.pc-d1-psnr</t>
        </is>
      </c>
      <c r="C79" t="inlineStr">
        <is>
          <t>dec.pc-d2-psnr</t>
        </is>
      </c>
      <c r="D79" t="inlineStr">
        <is>
          <t>dec.img-y-psnr</t>
        </is>
      </c>
      <c r="E79" t="inlineStr">
        <is>
          <t>eqn.bitrate</t>
        </is>
      </c>
      <c r="F79" t="inlineStr">
        <is>
          <t>enc.ext.bits</t>
        </is>
      </c>
      <c r="G79" t="inlineStr">
        <is>
          <t>dec.pc-cr-psnr</t>
        </is>
      </c>
      <c r="H79" t="inlineStr">
        <is>
          <t>dec.pc-cb-psnr</t>
        </is>
      </c>
      <c r="I79" t="inlineStr">
        <is>
          <t>dec.numfaces</t>
        </is>
      </c>
      <c r="J79" t="inlineStr">
        <is>
          <t>enc.utime</t>
        </is>
      </c>
      <c r="K79" t="inlineStr">
        <is>
          <t>dec.pc-y-psnr</t>
        </is>
      </c>
      <c r="L79" t="inlineStr">
        <is>
          <t>dec.utime</t>
        </is>
      </c>
      <c r="M79" t="inlineStr">
        <is>
          <t>dec.img-geom-psnr</t>
        </is>
      </c>
      <c r="N79" t="inlineStr">
        <is>
          <t>eqn.bpf</t>
        </is>
      </c>
    </row>
    <row r="80">
      <c r="A80" t="inlineStr">
        <is>
          <t>col.C2 lossy RA.class</t>
        </is>
      </c>
      <c r="B80" t="n">
        <v>1</v>
      </c>
    </row>
    <row r="81">
      <c r="A81" t="inlineStr">
        <is>
          <t>col.C2 lossy RA.sequence</t>
        </is>
      </c>
      <c r="B81" t="n">
        <v>2</v>
      </c>
    </row>
    <row r="82">
      <c r="A82" t="inlineStr">
        <is>
          <t>col.C2 lossy RA.variant</t>
        </is>
      </c>
      <c r="B82" t="n">
        <v>3</v>
      </c>
    </row>
    <row r="83">
      <c r="A83" t="inlineStr">
        <is>
          <t>col.C2 lossy RA.src.numfaces</t>
        </is>
      </c>
      <c r="B83" t="n">
        <v>4</v>
      </c>
    </row>
    <row r="84">
      <c r="A84" t="inlineStr">
        <is>
          <t>col.C2 lossy RA.src.geometry-precision</t>
        </is>
      </c>
      <c r="B84" t="n">
        <v>5</v>
      </c>
    </row>
    <row r="85">
      <c r="A85" t="inlineStr">
        <is>
          <t>col.C2 lossy RA.src.framecount</t>
        </is>
      </c>
      <c r="B85" t="n">
        <v>6</v>
      </c>
    </row>
    <row r="86">
      <c r="A86" t="inlineStr">
        <is>
          <t>col.C2 lossy RA.src.framerate</t>
        </is>
      </c>
      <c r="B86" t="n">
        <v>7</v>
      </c>
    </row>
    <row r="87">
      <c r="A87" t="inlineStr">
        <is>
          <t>col.C2 lossy RA.ctc.targetrate</t>
        </is>
      </c>
      <c r="B87" t="n">
        <v>8</v>
      </c>
    </row>
    <row r="88">
      <c r="A88" t="inlineStr">
        <is>
          <t>col.C2 lossy RA.A.eqn.bitrate</t>
        </is>
      </c>
      <c r="B88" t="n">
        <v>10</v>
      </c>
    </row>
    <row r="89">
      <c r="A89" t="inlineStr">
        <is>
          <t>col.C2 lossy RA.A.eqn.bpf</t>
        </is>
      </c>
      <c r="B89" t="n">
        <v>11</v>
      </c>
    </row>
    <row r="90">
      <c r="A90" t="inlineStr">
        <is>
          <t>col.C2 lossy RA.A.dec.numfaces</t>
        </is>
      </c>
      <c r="B90" t="n">
        <v>12</v>
      </c>
    </row>
    <row r="91">
      <c r="A91" t="inlineStr">
        <is>
          <t>col.C2 lossy RA.A.enc.ext.bits</t>
        </is>
      </c>
      <c r="B91" t="n">
        <v>13</v>
      </c>
    </row>
    <row r="92">
      <c r="A92" t="inlineStr">
        <is>
          <t>col.C2 lossy RA.A.dec.pc-d1-psnr</t>
        </is>
      </c>
      <c r="B92" t="n">
        <v>14</v>
      </c>
    </row>
    <row r="93">
      <c r="A93" t="inlineStr">
        <is>
          <t>col.C2 lossy RA.A.dec.pc-d2-psnr</t>
        </is>
      </c>
      <c r="B93" t="n">
        <v>15</v>
      </c>
    </row>
    <row r="94">
      <c r="A94" t="inlineStr">
        <is>
          <t>col.C2 lossy RA.A.dec.pc-y-psnr</t>
        </is>
      </c>
      <c r="B94" t="n">
        <v>16</v>
      </c>
    </row>
    <row r="95">
      <c r="A95" t="inlineStr">
        <is>
          <t>col.C2 lossy RA.A.dec.pc-cb-psnr</t>
        </is>
      </c>
      <c r="B95" t="n">
        <v>17</v>
      </c>
    </row>
    <row r="96">
      <c r="A96" t="inlineStr">
        <is>
          <t>col.C2 lossy RA.A.dec.pc-cr-psnr</t>
        </is>
      </c>
      <c r="B96" t="n">
        <v>18</v>
      </c>
    </row>
    <row r="97">
      <c r="A97" t="inlineStr">
        <is>
          <t>col.C2 lossy RA.A.dec.img-geom-psnr</t>
        </is>
      </c>
      <c r="B97" t="n">
        <v>19</v>
      </c>
    </row>
    <row r="98">
      <c r="A98" t="inlineStr">
        <is>
          <t>col.C2 lossy RA.A.dec.img-y-psnr</t>
        </is>
      </c>
      <c r="B98" t="n">
        <v>20</v>
      </c>
    </row>
    <row r="99">
      <c r="A99" t="inlineStr">
        <is>
          <t>col.C2 lossy RA.A.enc.utime</t>
        </is>
      </c>
      <c r="B99" t="n">
        <v>21</v>
      </c>
    </row>
    <row r="100">
      <c r="A100" t="inlineStr">
        <is>
          <t>col.C2 lossy RA.A.dec.utime</t>
        </is>
      </c>
      <c r="B100" t="n">
        <v>22</v>
      </c>
    </row>
    <row r="101">
      <c r="A101" t="inlineStr">
        <is>
          <t>col.C2 lossy RA.B.eqn.bitrate</t>
        </is>
      </c>
      <c r="B101" t="n">
        <v>24</v>
      </c>
    </row>
    <row r="102">
      <c r="A102" t="inlineStr">
        <is>
          <t>col.C2 lossy RA.B.eqn.bpf</t>
        </is>
      </c>
      <c r="B102" t="n">
        <v>25</v>
      </c>
    </row>
    <row r="103">
      <c r="A103" t="inlineStr">
        <is>
          <t>col.C2 lossy RA.B.dec.numfaces</t>
        </is>
      </c>
      <c r="B103" t="n">
        <v>26</v>
      </c>
    </row>
    <row r="104">
      <c r="A104" t="inlineStr">
        <is>
          <t>col.C2 lossy RA.B.enc.ext.bits</t>
        </is>
      </c>
      <c r="B104" t="n">
        <v>27</v>
      </c>
    </row>
    <row r="105">
      <c r="A105" t="inlineStr">
        <is>
          <t>col.C2 lossy RA.B.dec.pc-d1-psnr</t>
        </is>
      </c>
      <c r="B105" t="n">
        <v>28</v>
      </c>
    </row>
    <row r="106">
      <c r="A106" t="inlineStr">
        <is>
          <t>col.C2 lossy RA.B.dec.pc-d2-psnr</t>
        </is>
      </c>
      <c r="B106" t="n">
        <v>29</v>
      </c>
    </row>
    <row r="107">
      <c r="A107" t="inlineStr">
        <is>
          <t>col.C2 lossy RA.B.dec.pc-y-psnr</t>
        </is>
      </c>
      <c r="B107" t="n">
        <v>30</v>
      </c>
    </row>
    <row r="108">
      <c r="A108" t="inlineStr">
        <is>
          <t>col.C2 lossy RA.B.dec.pc-cb-psnr</t>
        </is>
      </c>
      <c r="B108" t="n">
        <v>31</v>
      </c>
    </row>
    <row r="109">
      <c r="A109" t="inlineStr">
        <is>
          <t>col.C2 lossy RA.B.dec.pc-cr-psnr</t>
        </is>
      </c>
      <c r="B109" t="n">
        <v>32</v>
      </c>
    </row>
    <row r="110">
      <c r="A110" t="inlineStr">
        <is>
          <t>col.C2 lossy RA.B.dec.img-geom-psnr</t>
        </is>
      </c>
      <c r="B110" t="n">
        <v>33</v>
      </c>
    </row>
    <row r="111">
      <c r="A111" t="inlineStr">
        <is>
          <t>col.C2 lossy RA.B.dec.img-y-psnr</t>
        </is>
      </c>
      <c r="B111" t="n">
        <v>34</v>
      </c>
    </row>
    <row r="112">
      <c r="A112" t="inlineStr">
        <is>
          <t>col.C2 lossy RA.B.enc.utime</t>
        </is>
      </c>
      <c r="B112" t="n">
        <v>35</v>
      </c>
    </row>
    <row r="113">
      <c r="A113" t="inlineStr">
        <is>
          <t>col.C2 lossy RA.B.dec.utime</t>
        </is>
      </c>
      <c r="B113" t="n">
        <v>36</v>
      </c>
    </row>
    <row r="114">
      <c r="A114" t="inlineStr">
        <is>
          <t>col.C2 lossy RA.eqn.ab.bdrate-pc-d1</t>
        </is>
      </c>
      <c r="B114" t="n">
        <v>38</v>
      </c>
    </row>
    <row r="115">
      <c r="A115" t="inlineStr">
        <is>
          <t>col.C2 lossy RA.eqn.ab.bdrate-pc-d2</t>
        </is>
      </c>
      <c r="B115" t="n">
        <v>39</v>
      </c>
    </row>
    <row r="116">
      <c r="A116" t="inlineStr">
        <is>
          <t>col.C2 lossy RA.eqn.ab.bdrate-pc-y</t>
        </is>
      </c>
      <c r="B116" t="n">
        <v>40</v>
      </c>
    </row>
    <row r="117">
      <c r="A117" t="inlineStr">
        <is>
          <t>col.C2 lossy RA.eqn.ab.bdrate-pc-cb</t>
        </is>
      </c>
      <c r="B117" t="n">
        <v>41</v>
      </c>
    </row>
    <row r="118">
      <c r="A118" t="inlineStr">
        <is>
          <t>col.C2 lossy RA.eqn.ab.bdrate-pc-cr</t>
        </is>
      </c>
      <c r="B118" t="n">
        <v>42</v>
      </c>
    </row>
    <row r="119">
      <c r="A119" t="inlineStr">
        <is>
          <t>col.C2 lossy RA.eqn.ab.bdrate-img-geom</t>
        </is>
      </c>
      <c r="B119" t="n">
        <v>43</v>
      </c>
    </row>
    <row r="120">
      <c r="A120" t="inlineStr">
        <is>
          <t>col.C2 lossy RA.eqn.ab.bdrate-img-y</t>
        </is>
      </c>
      <c r="B120" t="n">
        <v>44</v>
      </c>
    </row>
    <row r="121">
      <c r="A121" t="inlineStr">
        <is>
          <t>name.A.C2 lossy RA</t>
        </is>
      </c>
      <c r="B121" t="inlineStr">
        <is>
          <t>'C2 lossy RA'!$J$1</t>
        </is>
      </c>
    </row>
    <row r="122">
      <c r="A122" t="inlineStr">
        <is>
          <t>name.B.C2 lossy RA</t>
        </is>
      </c>
      <c r="B122" t="inlineStr">
        <is>
          <t>'C2 lossy RA'!$X$1</t>
        </is>
      </c>
    </row>
    <row r="123">
      <c r="A123" t="inlineStr">
        <is>
          <t>range.C2 lossy RA.longdress_voxelised</t>
        </is>
      </c>
      <c r="B123" t="inlineStr">
        <is>
          <t>'C2 lossy RA'!$A$5:$AR$9</t>
        </is>
      </c>
    </row>
    <row r="124">
      <c r="A124" t="inlineStr">
        <is>
          <t>range.C2 lossy RA.soldier_voxelised</t>
        </is>
      </c>
      <c r="B124" t="inlineStr">
        <is>
          <t>'C2 lossy RA'!$A$10:$AR$14</t>
        </is>
      </c>
    </row>
    <row r="125">
      <c r="A125" t="inlineStr">
        <is>
          <t>range.C2 lossy RA.basketball_player_voxelised</t>
        </is>
      </c>
      <c r="B125" t="inlineStr">
        <is>
          <t>'C2 lossy RA'!$A$15:$AR$19</t>
        </is>
      </c>
    </row>
    <row r="126">
      <c r="A126" t="inlineStr">
        <is>
          <t>range.C2 lossy RA.dancer_voxelised</t>
        </is>
      </c>
      <c r="B126" t="inlineStr">
        <is>
          <t>'C2 lossy RA'!$A$20:$AR$24</t>
        </is>
      </c>
    </row>
    <row r="127">
      <c r="A127" t="inlineStr">
        <is>
          <t>range.C2 lossy RA.football_voxelised</t>
        </is>
      </c>
      <c r="B127" t="inlineStr">
        <is>
          <t>'C2 lossy RA'!$A$25:$AR$29</t>
        </is>
      </c>
    </row>
    <row r="128">
      <c r="A128" t="inlineStr">
        <is>
          <t>range.C2 lossy RA.levi_voxelised</t>
        </is>
      </c>
      <c r="B128" t="inlineStr">
        <is>
          <t>'C2 lossy RA'!$A$30:$AR$34</t>
        </is>
      </c>
    </row>
    <row r="129">
      <c r="A129" t="inlineStr">
        <is>
          <t>range.C2 lossy RA.mitch_voxelised</t>
        </is>
      </c>
      <c r="B129" t="inlineStr">
        <is>
          <t>'C2 lossy RA'!$A$35:$AR$39</t>
        </is>
      </c>
    </row>
    <row r="130">
      <c r="A130" t="inlineStr">
        <is>
          <t>range.C2 lossy RA.thomas_voxelised</t>
        </is>
      </c>
      <c r="B130" t="inlineStr">
        <is>
          <t>'C2 lossy RA'!$A$40:$AR$44</t>
        </is>
      </c>
    </row>
    <row r="131">
      <c r="A131" t="inlineStr">
        <is>
          <t>cols.C2 lossy RA</t>
        </is>
      </c>
      <c r="B131" t="inlineStr">
        <is>
          <t>dec.pc-y-psnr</t>
        </is>
      </c>
      <c r="C131" t="inlineStr">
        <is>
          <t>dec.utime</t>
        </is>
      </c>
      <c r="D131" t="inlineStr">
        <is>
          <t>dec.img-geom-psnr</t>
        </is>
      </c>
      <c r="E131" t="inlineStr">
        <is>
          <t>eqn.bpf</t>
        </is>
      </c>
      <c r="F131" t="inlineStr">
        <is>
          <t>dec.pc-d1-psnr</t>
        </is>
      </c>
      <c r="G131" t="inlineStr">
        <is>
          <t>dec.pc-d2-psnr</t>
        </is>
      </c>
      <c r="H131" t="inlineStr">
        <is>
          <t>dec.img-y-psnr</t>
        </is>
      </c>
      <c r="I131" t="inlineStr">
        <is>
          <t>eqn.bitrate</t>
        </is>
      </c>
      <c r="J131" t="inlineStr">
        <is>
          <t>dec.pc-cr-psnr</t>
        </is>
      </c>
      <c r="K131" t="inlineStr">
        <is>
          <t>enc.ext.bits</t>
        </is>
      </c>
      <c r="L131" t="inlineStr">
        <is>
          <t>dec.pc-cb-psnr</t>
        </is>
      </c>
      <c r="M131" t="inlineStr">
        <is>
          <t>dec.numfaces</t>
        </is>
      </c>
      <c r="N131" t="inlineStr">
        <is>
          <t>enc.utime</t>
        </is>
      </c>
    </row>
  </sheetData>
  <pageMargins left="0.7" right="0.7" top="0.75" bottom="0.75" header="0.3" footer="0.3"/>
</worksheet>
</file>

<file path=xl/worksheets/sheet5.xml><?xml version="1.0" encoding="utf-8"?>
<worksheet xmlns="http://schemas.openxmlformats.org/spreadsheetml/2006/main">
  <sheetPr>
    <outlinePr summaryBelow="0"/>
    <pageSetUpPr/>
  </sheetPr>
  <dimension ref="A1:AR89"/>
  <sheetViews>
    <sheetView zoomScale="80" zoomScaleNormal="80" workbookViewId="0">
      <pane xSplit="2" ySplit="4" topLeftCell="I45" activePane="bottomRight" state="frozen"/>
      <selection pane="topRight" activeCell="C1" sqref="C1"/>
      <selection pane="bottomLeft" activeCell="A5" sqref="A5"/>
      <selection pane="bottomRight" activeCell="AH89" sqref="X49:AH89"/>
    </sheetView>
  </sheetViews>
  <sheetFormatPr baseColWidth="8" defaultColWidth="9.140625" defaultRowHeight="15" outlineLevelRow="1"/>
  <cols>
    <col width="24.7109375" customWidth="1" style="5" min="2" max="2"/>
    <col width="10.7109375" customWidth="1" style="5" min="4" max="5"/>
    <col width="1.7109375" customWidth="1" style="5" min="9" max="9"/>
    <col width="10.7109375" customWidth="1" style="5" min="11" max="12"/>
    <col width="12.7109375" customWidth="1" style="5" min="13" max="13"/>
    <col width="11.7109375" customWidth="1" style="5" min="14" max="20"/>
    <col width="1.7109375" customWidth="1" style="5" min="23" max="23"/>
    <col width="10.7109375" customWidth="1" style="5" min="25" max="26"/>
    <col width="12.7109375" customWidth="1" style="5" min="27" max="27"/>
    <col width="11.7109375" customWidth="1" style="5" min="28" max="34"/>
    <col width="1.7109375" customWidth="1" style="5" min="37" max="37"/>
    <col width="11.7109375" customWidth="1" style="5" min="40" max="44"/>
    <col width="1.7109375" customWidth="1" style="5" min="45" max="45"/>
  </cols>
  <sheetData>
    <row r="1">
      <c r="A1" s="71" t="inlineStr">
        <is>
          <t>C1_ai — lossy geometry, lossy attributes [all intra]</t>
        </is>
      </c>
      <c r="J1" s="61">
        <f>Summary!C1</f>
        <v/>
      </c>
      <c r="X1" s="62">
        <f>Summary!C2</f>
        <v/>
      </c>
    </row>
    <row r="2" ht="30" customHeight="1" s="5">
      <c r="A2" s="70" t="inlineStr">
        <is>
          <t>Class</t>
        </is>
      </c>
      <c r="B2" s="69" t="inlineStr">
        <is>
          <t>Sequence</t>
        </is>
      </c>
      <c r="C2" s="70" t="inlineStr">
        <is>
          <t>Variant</t>
        </is>
      </c>
      <c r="D2" s="69" t="inlineStr">
        <is>
          <t>№ input faces</t>
        </is>
      </c>
      <c r="E2" s="70" t="inlineStr">
        <is>
          <t>Geometry precision [bits]</t>
        </is>
      </c>
      <c r="F2" s="69" t="inlineStr">
        <is>
          <t>№ frames</t>
        </is>
      </c>
      <c r="G2" s="70" t="inlineStr">
        <is>
          <t>Frame rate [fps]</t>
        </is>
      </c>
      <c r="H2" s="69" t="inlineStr">
        <is>
          <t>Target rate [Mbps]</t>
        </is>
      </c>
      <c r="J2" s="70" t="inlineStr">
        <is>
          <t>Rate [Mbps]</t>
        </is>
      </c>
      <c r="K2" s="69" t="inlineStr">
        <is>
          <t>Total Bits per input face [bpif]</t>
        </is>
      </c>
      <c r="L2" s="70" t="inlineStr">
        <is>
          <t>№ output faces</t>
        </is>
      </c>
      <c r="M2" s="69" t="inlineStr">
        <is>
          <t>Total Bitstream [bits]</t>
        </is>
      </c>
      <c r="N2" s="72" t="inlineStr">
        <is>
          <t>Pointcloud-based PSNR [dB]</t>
        </is>
      </c>
      <c r="S2" s="73" t="inlineStr">
        <is>
          <t>Image-based PSNR [dB]</t>
        </is>
      </c>
      <c r="U2" s="70" t="inlineStr">
        <is>
          <t>User Encoder runtime [s]</t>
        </is>
      </c>
      <c r="V2" s="69" t="inlineStr">
        <is>
          <t>User Decoder runtime [s]</t>
        </is>
      </c>
      <c r="X2" s="70" t="inlineStr">
        <is>
          <t>Rate [Mbps]</t>
        </is>
      </c>
      <c r="Y2" s="69" t="inlineStr">
        <is>
          <t>Total Bits per input face [bpif]</t>
        </is>
      </c>
      <c r="Z2" s="70" t="inlineStr">
        <is>
          <t>№ output faces</t>
        </is>
      </c>
      <c r="AA2" s="69" t="inlineStr">
        <is>
          <t>Total Bitstream [bits]</t>
        </is>
      </c>
      <c r="AB2" s="72" t="inlineStr">
        <is>
          <t>Pointcloud-based PSNR [dB]</t>
        </is>
      </c>
      <c r="AG2" s="73" t="inlineStr">
        <is>
          <t>Image-based PSNR [dB]</t>
        </is>
      </c>
      <c r="AI2" s="70" t="inlineStr">
        <is>
          <t>User Encoder runtime [s]</t>
        </is>
      </c>
      <c r="AJ2" s="69" t="inlineStr">
        <is>
          <t>User Decoder runtime [s]</t>
        </is>
      </c>
      <c r="AL2" s="72" t="inlineStr">
        <is>
          <t>Pointcloud-based BD‑Rate [%]</t>
        </is>
      </c>
      <c r="AQ2" s="73" t="inlineStr">
        <is>
          <t>Image-based BD‑Rate [%]</t>
        </is>
      </c>
    </row>
    <row r="3" ht="15.75" customHeight="1" s="5" thickBot="1">
      <c r="A3" s="10" t="n"/>
      <c r="B3" s="10" t="n"/>
      <c r="C3" s="10" t="n"/>
      <c r="D3" s="10" t="n"/>
      <c r="E3" s="10" t="n"/>
      <c r="F3" s="10" t="n"/>
      <c r="G3" s="10" t="n"/>
      <c r="H3" s="10" t="n"/>
      <c r="J3" s="10" t="n"/>
      <c r="K3" s="10" t="n"/>
      <c r="L3" s="10" t="n"/>
      <c r="M3" s="10" t="n"/>
      <c r="N3" s="70" t="inlineStr">
        <is>
          <t>D1</t>
        </is>
      </c>
      <c r="O3" s="70" t="inlineStr">
        <is>
          <t>D2</t>
        </is>
      </c>
      <c r="P3" s="70" t="inlineStr">
        <is>
          <t>Luma</t>
        </is>
      </c>
      <c r="Q3" s="70" t="inlineStr">
        <is>
          <t>Chroma Cb</t>
        </is>
      </c>
      <c r="R3" s="70" t="inlineStr">
        <is>
          <t>Chroma Cr</t>
        </is>
      </c>
      <c r="S3" s="69" t="inlineStr">
        <is>
          <t>Geom</t>
        </is>
      </c>
      <c r="T3" s="69" t="inlineStr">
        <is>
          <t>Luma</t>
        </is>
      </c>
      <c r="U3" s="10" t="n"/>
      <c r="V3" s="10" t="n"/>
      <c r="X3" s="10" t="n"/>
      <c r="Y3" s="10" t="n"/>
      <c r="Z3" s="10" t="n"/>
      <c r="AA3" s="10" t="n"/>
      <c r="AB3" s="70" t="inlineStr">
        <is>
          <t>D1</t>
        </is>
      </c>
      <c r="AC3" s="70" t="inlineStr">
        <is>
          <t>D2</t>
        </is>
      </c>
      <c r="AD3" s="70" t="inlineStr">
        <is>
          <t>Luma</t>
        </is>
      </c>
      <c r="AE3" s="70" t="inlineStr">
        <is>
          <t>Chroma Cb</t>
        </is>
      </c>
      <c r="AF3" s="70" t="inlineStr">
        <is>
          <t>Chroma Cr</t>
        </is>
      </c>
      <c r="AG3" s="69" t="inlineStr">
        <is>
          <t>Geom</t>
        </is>
      </c>
      <c r="AH3" s="69" t="inlineStr">
        <is>
          <t>Luma</t>
        </is>
      </c>
      <c r="AI3" s="10" t="n"/>
      <c r="AJ3" s="10" t="n"/>
      <c r="AL3" s="70" t="inlineStr">
        <is>
          <t>D1</t>
        </is>
      </c>
      <c r="AM3" s="70" t="inlineStr">
        <is>
          <t>D2</t>
        </is>
      </c>
      <c r="AN3" s="70" t="inlineStr">
        <is>
          <t>Luma</t>
        </is>
      </c>
      <c r="AO3" s="70" t="inlineStr">
        <is>
          <t>Chroma Cb</t>
        </is>
      </c>
      <c r="AP3" s="70" t="inlineStr">
        <is>
          <t>Chroma Cr</t>
        </is>
      </c>
      <c r="AQ3" s="69" t="inlineStr">
        <is>
          <t>Geom</t>
        </is>
      </c>
      <c r="AR3" s="69" t="inlineStr">
        <is>
          <t>Luma</t>
        </is>
      </c>
    </row>
    <row r="4" hidden="1" ht="53.25" customHeight="1" s="5">
      <c r="A4" s="16" t="inlineStr">
        <is>
          <t>class</t>
        </is>
      </c>
      <c r="B4" s="17" t="inlineStr">
        <is>
          <t>sequence</t>
        </is>
      </c>
      <c r="C4" s="16" t="inlineStr">
        <is>
          <t>variant</t>
        </is>
      </c>
      <c r="D4" s="17" t="inlineStr">
        <is>
          <t>src.numfaces</t>
        </is>
      </c>
      <c r="E4" s="16" t="inlineStr">
        <is>
          <t>src.geometry-precision</t>
        </is>
      </c>
      <c r="F4" s="17" t="inlineStr">
        <is>
          <t>src.framecount</t>
        </is>
      </c>
      <c r="G4" s="16" t="inlineStr">
        <is>
          <t>src.framerate</t>
        </is>
      </c>
      <c r="H4" s="17" t="inlineStr">
        <is>
          <t>ctc.targetrate</t>
        </is>
      </c>
      <c r="J4" s="16" t="inlineStr">
        <is>
          <t>A.eqn.bitrate</t>
        </is>
      </c>
      <c r="K4" s="17" t="inlineStr">
        <is>
          <t>A.eqn.bpf</t>
        </is>
      </c>
      <c r="L4" s="16" t="inlineStr">
        <is>
          <t>A.dec.numfaces</t>
        </is>
      </c>
      <c r="M4" s="17" t="inlineStr">
        <is>
          <t>A.enc.ext.bits</t>
        </is>
      </c>
      <c r="N4" s="16" t="inlineStr">
        <is>
          <t>A.dec.pc-d1-psnr</t>
        </is>
      </c>
      <c r="O4" s="16" t="inlineStr">
        <is>
          <t>A.dec.pc-d2-psnr</t>
        </is>
      </c>
      <c r="P4" s="16" t="inlineStr">
        <is>
          <t>A.dec.pc-y-psnr</t>
        </is>
      </c>
      <c r="Q4" s="16" t="inlineStr">
        <is>
          <t>A.dec.pc-cb-psnr</t>
        </is>
      </c>
      <c r="R4" s="16" t="inlineStr">
        <is>
          <t>A.dec.pc-cr-psnr</t>
        </is>
      </c>
      <c r="S4" s="17" t="inlineStr">
        <is>
          <t>A.dec.img-geom-psnr</t>
        </is>
      </c>
      <c r="T4" s="17" t="inlineStr">
        <is>
          <t>A.dec.img-y-psnr</t>
        </is>
      </c>
      <c r="U4" s="16" t="inlineStr">
        <is>
          <t>A.enc.utime</t>
        </is>
      </c>
      <c r="V4" s="17" t="inlineStr">
        <is>
          <t>A.dec.utime</t>
        </is>
      </c>
      <c r="X4" s="16" t="inlineStr">
        <is>
          <t>B.eqn.bitrate</t>
        </is>
      </c>
      <c r="Y4" s="17" t="inlineStr">
        <is>
          <t>B.eqn.bpf</t>
        </is>
      </c>
      <c r="Z4" s="16" t="inlineStr">
        <is>
          <t>B.dec.numfaces</t>
        </is>
      </c>
      <c r="AA4" s="17" t="inlineStr">
        <is>
          <t>B.enc.ext.bits</t>
        </is>
      </c>
      <c r="AB4" s="16" t="inlineStr">
        <is>
          <t>B.dec.pc-d1-psnr</t>
        </is>
      </c>
      <c r="AC4" s="16" t="inlineStr">
        <is>
          <t>B.dec.pc-d2-psnr</t>
        </is>
      </c>
      <c r="AD4" s="16" t="inlineStr">
        <is>
          <t>B.dec.pc-y-psnr</t>
        </is>
      </c>
      <c r="AE4" s="16" t="inlineStr">
        <is>
          <t>B.dec.pc-cb-psnr</t>
        </is>
      </c>
      <c r="AF4" s="16" t="inlineStr">
        <is>
          <t>B.dec.pc-cr-psnr</t>
        </is>
      </c>
      <c r="AG4" s="17" t="inlineStr">
        <is>
          <t>B.dec.img-geom-psnr</t>
        </is>
      </c>
      <c r="AH4" s="17" t="inlineStr">
        <is>
          <t>B.dec.img-y-psnr</t>
        </is>
      </c>
      <c r="AI4" s="16" t="inlineStr">
        <is>
          <t>B.enc.utime</t>
        </is>
      </c>
      <c r="AJ4" s="17" t="inlineStr">
        <is>
          <t>B.dec.utime</t>
        </is>
      </c>
      <c r="AL4" s="16" t="inlineStr">
        <is>
          <t>eqn.ab.bdrate-pc-d1</t>
        </is>
      </c>
      <c r="AM4" s="16" t="inlineStr">
        <is>
          <t>eqn.ab.bdrate-pc-d2</t>
        </is>
      </c>
      <c r="AN4" s="16" t="inlineStr">
        <is>
          <t>eqn.ab.bdrate-pc-y</t>
        </is>
      </c>
      <c r="AO4" s="16" t="inlineStr">
        <is>
          <t>eqn.ab.bdrate-pc-cb</t>
        </is>
      </c>
      <c r="AP4" s="16" t="inlineStr">
        <is>
          <t>eqn.ab.bdrate-pc-cr</t>
        </is>
      </c>
      <c r="AQ4" s="17" t="inlineStr">
        <is>
          <t>eqn.ab.bdrate-img-geom</t>
        </is>
      </c>
      <c r="AR4" s="17" t="inlineStr">
        <is>
          <t>eqn.ab.bdrate-img-y</t>
        </is>
      </c>
    </row>
    <row r="5">
      <c r="A5" s="74" t="inlineStr">
        <is>
          <t>cat1-A</t>
        </is>
      </c>
      <c r="B5" s="74" t="inlineStr">
        <is>
          <t>longdress_voxelised</t>
        </is>
      </c>
      <c r="C5" s="20" t="inlineStr">
        <is>
          <t>r01</t>
        </is>
      </c>
      <c r="D5" s="74" t="n">
        <v>11997440</v>
      </c>
      <c r="E5" s="19" t="n">
        <v>10</v>
      </c>
      <c r="F5" s="20" t="n">
        <v>4</v>
      </c>
      <c r="G5" s="20" t="n">
        <v>30</v>
      </c>
      <c r="H5" s="20" t="n">
        <v>4</v>
      </c>
      <c r="J5" s="21">
        <f>IF(OR(ISBLANK(M5),ISBLANK(G5)),"·",M5*G5/F5/1000000)</f>
        <v/>
      </c>
      <c r="K5" s="22">
        <f>IF(ISBLANK(M5),"·",M5/D5)</f>
        <v/>
      </c>
      <c r="L5" s="45" t="n">
        <v>298112</v>
      </c>
      <c r="M5" s="23" t="n">
        <v>636272</v>
      </c>
      <c r="N5" s="46" t="n">
        <v>68.987236</v>
      </c>
      <c r="O5" s="46" t="n">
        <v>70.9108104</v>
      </c>
      <c r="P5" s="46" t="n">
        <v>27.8657725</v>
      </c>
      <c r="Q5" s="46" t="n">
        <v>33.7821813</v>
      </c>
      <c r="R5" s="46" t="n">
        <v>33.27892</v>
      </c>
      <c r="S5" s="46" t="n">
        <v>49.8406852</v>
      </c>
      <c r="T5" s="46" t="n">
        <v>27.004238</v>
      </c>
      <c r="U5" s="24" t="n">
        <v>110.604033</v>
      </c>
      <c r="V5" s="24" t="n">
        <v>1.32316775</v>
      </c>
      <c r="X5" s="21">
        <f>IF(OR(ISBLANK(AA5),ISBLANK(G5)),"·",AA5*G5/F5/1000000)</f>
        <v/>
      </c>
      <c r="Y5" s="22">
        <f>IF(ISBLANK(AA5),"·",AA5/D5)</f>
        <v/>
      </c>
      <c r="Z5" s="45" t="n">
        <v>298112</v>
      </c>
      <c r="AA5" s="23" t="n">
        <v>367624</v>
      </c>
      <c r="AB5" s="46" t="n">
        <v>68.987236</v>
      </c>
      <c r="AC5" s="46" t="n">
        <v>70.9108104</v>
      </c>
      <c r="AD5" s="46" t="n">
        <v>25.2705904</v>
      </c>
      <c r="AE5" s="46" t="n">
        <v>31.5438993</v>
      </c>
      <c r="AF5" s="46" t="n">
        <v>30.7834175</v>
      </c>
      <c r="AG5" s="46" t="n">
        <v>49.8406852</v>
      </c>
      <c r="AH5" s="46" t="n">
        <v>24.9178734</v>
      </c>
      <c r="AI5" s="24" t="n">
        <v>114.869913</v>
      </c>
      <c r="AJ5" s="24" t="n">
        <v>0.9389384670000001</v>
      </c>
      <c r="AL5" s="25">
        <f t="array" ref="AL5">IF( OR(AND(ISBLANK(M5:M9)),AND(ISBLANK(AA5:AA9)), AND(ISBLANK(N5:N9)),AND(ISBLANK(AB5:AB9))), "·", bdRateExtend( M5:M9,N5:N9, AA5:AA9,AB5:AB9))</f>
        <v/>
      </c>
      <c r="AM5" s="25">
        <f t="array" ref="AM5">IF( OR(AND(ISBLANK(M5:M9)),AND(ISBLANK(AA5:AA9)), AND(ISBLANK(O5:O9)),AND(ISBLANK(AC5:AC9))), "·", bdRateExtend( M5:M9,O5:O9, AA5:AA9,AC5:AC9))</f>
        <v/>
      </c>
      <c r="AN5" s="25">
        <f t="array" ref="AN5">IF( OR(AND(ISBLANK(M5:M9)),AND(ISBLANK(AA5:AA9)), AND(ISBLANK(P5:P9)),AND(ISBLANK(AD5:AD9))), "·", bdRateExtend( M5:M9,P5:P9, AA5:AA9,AD5:AD9))</f>
        <v/>
      </c>
      <c r="AO5" s="25">
        <f t="array" ref="AO5">IF( OR(AND(ISBLANK(M5:M9)),AND(ISBLANK(AA5:AA9)), AND(ISBLANK(Q5:Q9)),AND(ISBLANK(AE5:AE9))), "·", bdRateExtend( M5:M9,Q5:Q9, AA5:AA9,AE5:AE9))</f>
        <v/>
      </c>
      <c r="AP5" s="25">
        <f t="array" ref="AP5">IF( OR(AND(ISBLANK(M5:M9)),AND(ISBLANK(AA5:AA9)), AND(ISBLANK(R5:R9)),AND(ISBLANK(AF5:AF9))), "·", bdRateExtend( M5:M9,R5:R9, AA5:AA9,AF5:AF9))</f>
        <v/>
      </c>
      <c r="AQ5" s="25">
        <f t="array" ref="AQ5">IF( OR(AND(ISBLANK(M5:M9)),AND(ISBLANK(AA5:AA9)), AND(ISBLANK(S5:S9)),AND(ISBLANK(AG5:AG9))), "·", bdRateExtend( M5:M9,S5:S9, AA5:AA9,AG5:AG9))</f>
        <v/>
      </c>
      <c r="AR5" s="25">
        <f t="array" ref="AR5">IF( OR(AND(ISBLANK(M5:M9)),AND(ISBLANK(AA5:AA9)), AND(ISBLANK(T5:T9)),AND(ISBLANK(AH5:AH9))), "·", bdRateExtend( M5:M9,T5:T9, AA5:AA9,AH5:AH9))</f>
        <v/>
      </c>
    </row>
    <row r="6" outlineLevel="1" s="5">
      <c r="A6" s="75" t="n"/>
      <c r="B6" s="75" t="inlineStr">
        <is>
          <t>longdress_voxelised</t>
        </is>
      </c>
      <c r="C6" s="36" t="inlineStr">
        <is>
          <t>r02</t>
        </is>
      </c>
      <c r="D6" s="75" t="n">
        <v>11997440</v>
      </c>
      <c r="E6" s="35" t="n">
        <v>10</v>
      </c>
      <c r="F6" s="36" t="n">
        <v>4</v>
      </c>
      <c r="G6" s="36" t="n">
        <v>30</v>
      </c>
      <c r="H6" s="36" t="n">
        <v>9</v>
      </c>
      <c r="J6" s="37">
        <f>IF(OR(ISBLANK(M6),ISBLANK(G6)),"·",M6*G6/F6/1000000)</f>
        <v/>
      </c>
      <c r="K6" s="38">
        <f>IF(ISBLANK(M6),"·",M6/D6)</f>
        <v/>
      </c>
      <c r="L6" s="47" t="n">
        <v>605056</v>
      </c>
      <c r="M6" s="39" t="n">
        <v>1140752</v>
      </c>
      <c r="N6" s="48" t="n">
        <v>72.4591314</v>
      </c>
      <c r="O6" s="48" t="n">
        <v>75.3740696</v>
      </c>
      <c r="P6" s="48" t="n">
        <v>29.9470579</v>
      </c>
      <c r="Q6" s="48" t="n">
        <v>35.6837709</v>
      </c>
      <c r="R6" s="48" t="n">
        <v>35.3330341</v>
      </c>
      <c r="S6" s="48" t="n">
        <v>51.9782935</v>
      </c>
      <c r="T6" s="48" t="n">
        <v>29.1321</v>
      </c>
      <c r="U6" s="40" t="n">
        <v>125.319367</v>
      </c>
      <c r="V6" s="40" t="n">
        <v>1.38620293</v>
      </c>
      <c r="X6" s="37">
        <f>IF(OR(ISBLANK(AA6),ISBLANK(G6)),"·",AA6*G6/F6/1000000)</f>
        <v/>
      </c>
      <c r="Y6" s="38">
        <f>IF(ISBLANK(AA6),"·",AA6/D6)</f>
        <v/>
      </c>
      <c r="Z6" s="47" t="n">
        <v>605056</v>
      </c>
      <c r="AA6" s="39" t="n">
        <v>680832</v>
      </c>
      <c r="AB6" s="48" t="n">
        <v>72.4591314</v>
      </c>
      <c r="AC6" s="48" t="n">
        <v>75.3740696</v>
      </c>
      <c r="AD6" s="48" t="n">
        <v>27.0579148</v>
      </c>
      <c r="AE6" s="48" t="n">
        <v>33.2551874</v>
      </c>
      <c r="AF6" s="48" t="n">
        <v>32.5795132</v>
      </c>
      <c r="AG6" s="48" t="n">
        <v>51.9782935</v>
      </c>
      <c r="AH6" s="48" t="n">
        <v>26.7166572</v>
      </c>
      <c r="AI6" s="40" t="n">
        <v>130.692867</v>
      </c>
      <c r="AJ6" s="40" t="n">
        <v>1.06871615</v>
      </c>
      <c r="AL6" s="41" t="n"/>
      <c r="AM6" s="41" t="n"/>
      <c r="AN6" s="41" t="n"/>
      <c r="AO6" s="41" t="n"/>
      <c r="AP6" s="41" t="n"/>
      <c r="AQ6" s="41" t="n"/>
      <c r="AR6" s="41" t="n"/>
    </row>
    <row r="7" outlineLevel="1" s="5">
      <c r="A7" s="74" t="n"/>
      <c r="B7" s="74" t="inlineStr">
        <is>
          <t>longdress_voxelised</t>
        </is>
      </c>
      <c r="C7" s="20" t="inlineStr">
        <is>
          <t>r03</t>
        </is>
      </c>
      <c r="D7" s="74" t="n">
        <v>11997440</v>
      </c>
      <c r="E7" s="19" t="n">
        <v>10</v>
      </c>
      <c r="F7" s="20" t="n">
        <v>4</v>
      </c>
      <c r="G7" s="20" t="n">
        <v>30</v>
      </c>
      <c r="H7" s="20" t="n">
        <v>12</v>
      </c>
      <c r="J7" s="21">
        <f>IF(OR(ISBLANK(M7),ISBLANK(G7)),"·",M7*G7/F7/1000000)</f>
        <v/>
      </c>
      <c r="K7" s="22">
        <f>IF(ISBLANK(M7),"·",M7/D7)</f>
        <v/>
      </c>
      <c r="L7" s="45" t="n">
        <v>57435</v>
      </c>
      <c r="M7" s="23" t="n">
        <v>1518952</v>
      </c>
      <c r="N7" s="46" t="n">
        <v>75.0052609</v>
      </c>
      <c r="O7" s="46" t="n">
        <v>77.9180652</v>
      </c>
      <c r="P7" s="46" t="n">
        <v>30.2948479</v>
      </c>
      <c r="Q7" s="46" t="n">
        <v>35.5598957</v>
      </c>
      <c r="R7" s="46" t="n">
        <v>35.2444878</v>
      </c>
      <c r="S7" s="46" t="n">
        <v>53.5121655</v>
      </c>
      <c r="T7" s="46" t="n">
        <v>29.6500107</v>
      </c>
      <c r="U7" s="24" t="n">
        <v>231.04087</v>
      </c>
      <c r="V7" s="24" t="n">
        <v>1.33673038</v>
      </c>
      <c r="X7" s="21">
        <f>IF(OR(ISBLANK(AA7),ISBLANK(G7)),"·",AA7*G7/F7/1000000)</f>
        <v/>
      </c>
      <c r="Y7" s="22">
        <f>IF(ISBLANK(AA7),"·",AA7/D7)</f>
        <v/>
      </c>
      <c r="Z7" s="45" t="n">
        <v>57435</v>
      </c>
      <c r="AA7" s="23" t="n">
        <v>1028240</v>
      </c>
      <c r="AB7" s="46" t="n">
        <v>75.0052609</v>
      </c>
      <c r="AC7" s="46" t="n">
        <v>77.9180652</v>
      </c>
      <c r="AD7" s="46" t="n">
        <v>27.3926101</v>
      </c>
      <c r="AE7" s="46" t="n">
        <v>33.1656742</v>
      </c>
      <c r="AF7" s="46" t="n">
        <v>32.5691721</v>
      </c>
      <c r="AG7" s="46" t="n">
        <v>53.5121655</v>
      </c>
      <c r="AH7" s="46" t="n">
        <v>27.1080291</v>
      </c>
      <c r="AI7" s="24" t="n">
        <v>286.102947</v>
      </c>
      <c r="AJ7" s="24" t="n">
        <v>0.657949652</v>
      </c>
      <c r="AL7" s="25" t="n"/>
      <c r="AM7" s="25" t="n"/>
      <c r="AN7" s="25" t="n"/>
      <c r="AO7" s="25" t="n"/>
      <c r="AP7" s="25" t="n"/>
      <c r="AQ7" s="25" t="n"/>
      <c r="AR7" s="25" t="n"/>
    </row>
    <row r="8" outlineLevel="1" s="5">
      <c r="A8" s="75" t="n"/>
      <c r="B8" s="75" t="inlineStr">
        <is>
          <t>longdress_voxelised</t>
        </is>
      </c>
      <c r="C8" s="36" t="inlineStr">
        <is>
          <t>r04</t>
        </is>
      </c>
      <c r="D8" s="75" t="n">
        <v>11997440</v>
      </c>
      <c r="E8" s="35" t="n">
        <v>10</v>
      </c>
      <c r="F8" s="36" t="n">
        <v>4</v>
      </c>
      <c r="G8" s="36" t="n">
        <v>30</v>
      </c>
      <c r="H8" s="36" t="n">
        <v>15</v>
      </c>
      <c r="J8" s="37">
        <f>IF(OR(ISBLANK(M8),ISBLANK(G8)),"·",M8*G8/F8/1000000)</f>
        <v/>
      </c>
      <c r="K8" s="38">
        <f>IF(ISBLANK(M8),"·",M8/D8)</f>
        <v/>
      </c>
      <c r="L8" s="47" t="n">
        <v>76635</v>
      </c>
      <c r="M8" s="39" t="n">
        <v>1895672</v>
      </c>
      <c r="N8" s="48" t="n">
        <v>77.1458312</v>
      </c>
      <c r="O8" s="48" t="n">
        <v>80.535752</v>
      </c>
      <c r="P8" s="48" t="n">
        <v>30.8412424</v>
      </c>
      <c r="Q8" s="48" t="n">
        <v>36.1183157</v>
      </c>
      <c r="R8" s="48" t="n">
        <v>35.8386466</v>
      </c>
      <c r="S8" s="48" t="n">
        <v>55.1445519</v>
      </c>
      <c r="T8" s="48" t="n">
        <v>30.3677233</v>
      </c>
      <c r="U8" s="40" t="n">
        <v>254.657133</v>
      </c>
      <c r="V8" s="40" t="n">
        <v>1.37922366</v>
      </c>
      <c r="X8" s="37">
        <f>IF(OR(ISBLANK(AA8),ISBLANK(G8)),"·",AA8*G8/F8/1000000)</f>
        <v/>
      </c>
      <c r="Y8" s="38">
        <f>IF(ISBLANK(AA8),"·",AA8/D8)</f>
        <v/>
      </c>
      <c r="Z8" s="47" t="n">
        <v>76635</v>
      </c>
      <c r="AA8" s="39" t="n">
        <v>1337024</v>
      </c>
      <c r="AB8" s="48" t="n">
        <v>77.1458312</v>
      </c>
      <c r="AC8" s="48" t="n">
        <v>80.535752</v>
      </c>
      <c r="AD8" s="48" t="n">
        <v>27.9292723</v>
      </c>
      <c r="AE8" s="48" t="n">
        <v>33.6637639</v>
      </c>
      <c r="AF8" s="48" t="n">
        <v>33.0086847</v>
      </c>
      <c r="AG8" s="48" t="n">
        <v>55.1445519</v>
      </c>
      <c r="AH8" s="48" t="n">
        <v>27.7113065</v>
      </c>
      <c r="AI8" s="40" t="n">
        <v>336.271503</v>
      </c>
      <c r="AJ8" s="40" t="n">
        <v>0.9628047159999999</v>
      </c>
      <c r="AL8" s="41" t="n"/>
      <c r="AM8" s="41" t="n"/>
      <c r="AN8" s="41" t="n"/>
      <c r="AO8" s="41" t="n"/>
      <c r="AP8" s="41" t="n"/>
      <c r="AQ8" s="41" t="n"/>
      <c r="AR8" s="41" t="n"/>
    </row>
    <row r="9" outlineLevel="1" ht="15.75" customHeight="1" s="5" thickBot="1">
      <c r="A9" s="74" t="n"/>
      <c r="B9" s="49" t="inlineStr">
        <is>
          <t>longdress_voxelised</t>
        </is>
      </c>
      <c r="C9" s="50" t="inlineStr">
        <is>
          <t>r05</t>
        </is>
      </c>
      <c r="D9" s="49" t="n">
        <v>11997440</v>
      </c>
      <c r="E9" s="51" t="n">
        <v>10</v>
      </c>
      <c r="F9" s="50" t="n">
        <v>4</v>
      </c>
      <c r="G9" s="50" t="n">
        <v>30</v>
      </c>
      <c r="H9" s="50" t="n">
        <v>22</v>
      </c>
      <c r="J9" s="52">
        <f>IF(OR(ISBLANK(M9),ISBLANK(G9)),"·",M9*G9/F9/1000000)</f>
        <v/>
      </c>
      <c r="K9" s="53">
        <f>IF(ISBLANK(M9),"·",M9/D9)</f>
        <v/>
      </c>
      <c r="L9" s="54" t="n">
        <v>159938</v>
      </c>
      <c r="M9" s="55" t="n">
        <v>2732600</v>
      </c>
      <c r="N9" s="56" t="n">
        <v>999.99</v>
      </c>
      <c r="O9" s="56" t="n">
        <v>184.521232</v>
      </c>
      <c r="P9" s="56" t="n">
        <v>32.4810438</v>
      </c>
      <c r="Q9" s="56" t="n">
        <v>36.8187838</v>
      </c>
      <c r="R9" s="56" t="n">
        <v>36.5845004</v>
      </c>
      <c r="S9" s="56" t="n">
        <v>999.99</v>
      </c>
      <c r="T9" s="56" t="n">
        <v>32.4416753</v>
      </c>
      <c r="U9" s="57" t="n">
        <v>87.8380609</v>
      </c>
      <c r="V9" s="57" t="n">
        <v>1.41099492</v>
      </c>
      <c r="X9" s="52">
        <f>IF(OR(ISBLANK(AA9),ISBLANK(G9)),"·",AA9*G9/F9/1000000)</f>
        <v/>
      </c>
      <c r="Y9" s="53">
        <f>IF(ISBLANK(AA9),"·",AA9/D9)</f>
        <v/>
      </c>
      <c r="Z9" s="54" t="n">
        <v>159938</v>
      </c>
      <c r="AA9" s="55" t="n">
        <v>2009160</v>
      </c>
      <c r="AB9" s="56" t="n">
        <v>999.99</v>
      </c>
      <c r="AC9" s="56" t="n">
        <v>184.521232</v>
      </c>
      <c r="AD9" s="56" t="n">
        <v>29.2896674</v>
      </c>
      <c r="AE9" s="56" t="n">
        <v>34.2036558</v>
      </c>
      <c r="AF9" s="56" t="n">
        <v>33.693256</v>
      </c>
      <c r="AG9" s="56" t="n">
        <v>999.99</v>
      </c>
      <c r="AH9" s="56" t="n">
        <v>29.2417451</v>
      </c>
      <c r="AI9" s="57" t="n">
        <v>41.5217541</v>
      </c>
      <c r="AJ9" s="57" t="n">
        <v>0.720078034</v>
      </c>
      <c r="AL9" s="58" t="n"/>
      <c r="AM9" s="58" t="n"/>
      <c r="AN9" s="58" t="n"/>
      <c r="AO9" s="58" t="n"/>
      <c r="AP9" s="58" t="n"/>
      <c r="AQ9" s="58" t="n"/>
      <c r="AR9" s="58" t="n"/>
    </row>
    <row r="10">
      <c r="A10" s="75" t="n"/>
      <c r="B10" s="75" t="inlineStr">
        <is>
          <t>soldier_voxelised</t>
        </is>
      </c>
      <c r="C10" s="36" t="inlineStr">
        <is>
          <t>r01</t>
        </is>
      </c>
      <c r="D10" s="75" t="n">
        <v>9000000</v>
      </c>
      <c r="E10" s="35" t="n">
        <v>10</v>
      </c>
      <c r="F10" s="36" t="n">
        <v>4</v>
      </c>
      <c r="G10" s="36" t="n">
        <v>30</v>
      </c>
      <c r="H10" s="36" t="n">
        <v>5</v>
      </c>
      <c r="J10" s="37">
        <f>IF(OR(ISBLANK(M10),ISBLANK(G10)),"·",M10*G10/F10/1000000)</f>
        <v/>
      </c>
      <c r="K10" s="38">
        <f>IF(ISBLANK(M10),"·",M10/D10)</f>
        <v/>
      </c>
      <c r="L10" s="47" t="n">
        <v>299136</v>
      </c>
      <c r="M10" s="39" t="n">
        <v>659336</v>
      </c>
      <c r="N10" s="48" t="n">
        <v>66.1557636</v>
      </c>
      <c r="O10" s="48" t="n">
        <v>67.40922209999999</v>
      </c>
      <c r="P10" s="48" t="n">
        <v>31.019063</v>
      </c>
      <c r="Q10" s="48" t="n">
        <v>44.3961881</v>
      </c>
      <c r="R10" s="48" t="n">
        <v>44.5623687</v>
      </c>
      <c r="S10" s="48" t="n">
        <v>44.7770632</v>
      </c>
      <c r="T10" s="48" t="n">
        <v>29.2327505</v>
      </c>
      <c r="U10" s="40" t="n">
        <v>112.744386</v>
      </c>
      <c r="V10" s="40" t="n">
        <v>1.30648712</v>
      </c>
      <c r="X10" s="37">
        <f>IF(OR(ISBLANK(AA10),ISBLANK(G10)),"·",AA10*G10/F10/1000000)</f>
        <v/>
      </c>
      <c r="Y10" s="38">
        <f>IF(ISBLANK(AA10),"·",AA10/D10)</f>
        <v/>
      </c>
      <c r="Z10" s="47" t="n">
        <v>299136</v>
      </c>
      <c r="AA10" s="39" t="n">
        <v>423496</v>
      </c>
      <c r="AB10" s="48" t="n">
        <v>66.1557636</v>
      </c>
      <c r="AC10" s="48" t="n">
        <v>67.40922209999999</v>
      </c>
      <c r="AD10" s="48" t="n">
        <v>28.3421598</v>
      </c>
      <c r="AE10" s="48" t="n">
        <v>42.7935535</v>
      </c>
      <c r="AF10" s="48" t="n">
        <v>42.9994442</v>
      </c>
      <c r="AG10" s="48" t="n">
        <v>44.7770632</v>
      </c>
      <c r="AH10" s="48" t="n">
        <v>27.5292978</v>
      </c>
      <c r="AI10" s="40" t="n">
        <v>108.482077</v>
      </c>
      <c r="AJ10" s="40" t="n">
        <v>1.0172086</v>
      </c>
      <c r="AL10" s="41">
        <f t="array" ref="AL10">IF( OR(AND(ISBLANK(M10:M14)),AND(ISBLANK(AA10:AA14)), AND(ISBLANK(N10:N14)),AND(ISBLANK(AB10:AB14))), "·", bdRateExtend( M10:M14,N10:N14, AA10:AA14,AB10:AB14))</f>
        <v/>
      </c>
      <c r="AM10" s="41">
        <f t="array" ref="AM10">IF( OR(AND(ISBLANK(M10:M14)),AND(ISBLANK(AA10:AA14)), AND(ISBLANK(O10:O14)),AND(ISBLANK(AC10:AC14))), "·", bdRateExtend( M10:M14,O10:O14, AA10:AA14,AC10:AC14))</f>
        <v/>
      </c>
      <c r="AN10" s="41">
        <f t="array" ref="AN10">IF( OR(AND(ISBLANK(M10:M14)),AND(ISBLANK(AA10:AA14)), AND(ISBLANK(P10:P14)),AND(ISBLANK(AD10:AD14))), "·", bdRateExtend( M10:M14,P10:P14, AA10:AA14,AD10:AD14))</f>
        <v/>
      </c>
      <c r="AO10" s="41">
        <f t="array" ref="AO10">IF( OR(AND(ISBLANK(M10:M14)),AND(ISBLANK(AA10:AA14)), AND(ISBLANK(Q10:Q14)),AND(ISBLANK(AE10:AE14))), "·", bdRateExtend( M10:M14,Q10:Q14, AA10:AA14,AE10:AE14))</f>
        <v/>
      </c>
      <c r="AP10" s="41">
        <f t="array" ref="AP10">IF( OR(AND(ISBLANK(M10:M14)),AND(ISBLANK(AA10:AA14)), AND(ISBLANK(R10:R14)),AND(ISBLANK(AF10:AF14))), "·", bdRateExtend( M10:M14,R10:R14, AA10:AA14,AF10:AF14))</f>
        <v/>
      </c>
      <c r="AQ10" s="41">
        <f t="array" ref="AQ10">IF( OR(AND(ISBLANK(M10:M14)),AND(ISBLANK(AA10:AA14)), AND(ISBLANK(S10:S14)),AND(ISBLANK(AG10:AG14))), "·", bdRateExtend( M10:M14,S10:S14, AA10:AA14,AG10:AG14))</f>
        <v/>
      </c>
      <c r="AR10" s="41">
        <f t="array" ref="AR10">IF( OR(AND(ISBLANK(M10:M14)),AND(ISBLANK(AA10:AA14)), AND(ISBLANK(T10:T14)),AND(ISBLANK(AH10:AH14))), "·", bdRateExtend( M10:M14,T10:T14, AA10:AA14,AH10:AH14))</f>
        <v/>
      </c>
    </row>
    <row r="11" outlineLevel="1" s="5">
      <c r="A11" s="74" t="n"/>
      <c r="B11" s="74" t="inlineStr">
        <is>
          <t>soldier_voxelised</t>
        </is>
      </c>
      <c r="C11" s="20" t="inlineStr">
        <is>
          <t>r02</t>
        </is>
      </c>
      <c r="D11" s="74" t="n">
        <v>9000000</v>
      </c>
      <c r="E11" s="19" t="n">
        <v>10</v>
      </c>
      <c r="F11" s="20" t="n">
        <v>4</v>
      </c>
      <c r="G11" s="20" t="n">
        <v>30</v>
      </c>
      <c r="H11" s="20" t="n">
        <v>9</v>
      </c>
      <c r="J11" s="21">
        <f>IF(OR(ISBLANK(M11),ISBLANK(G11)),"·",M11*G11/F11/1000000)</f>
        <v/>
      </c>
      <c r="K11" s="22">
        <f>IF(ISBLANK(M11),"·",M11/D11)</f>
        <v/>
      </c>
      <c r="L11" s="45" t="n">
        <v>605952</v>
      </c>
      <c r="M11" s="23" t="n">
        <v>1166336</v>
      </c>
      <c r="N11" s="46" t="n">
        <v>71.9540985</v>
      </c>
      <c r="O11" s="46" t="n">
        <v>74.0441108</v>
      </c>
      <c r="P11" s="46" t="n">
        <v>32.74245</v>
      </c>
      <c r="Q11" s="46" t="n">
        <v>44.779598</v>
      </c>
      <c r="R11" s="46" t="n">
        <v>45.0303501</v>
      </c>
      <c r="S11" s="46" t="n">
        <v>48.3327548</v>
      </c>
      <c r="T11" s="46" t="n">
        <v>31.5634062</v>
      </c>
      <c r="U11" s="24" t="n">
        <v>122.021089</v>
      </c>
      <c r="V11" s="24" t="n">
        <v>1.35880413</v>
      </c>
      <c r="X11" s="21">
        <f>IF(OR(ISBLANK(AA11),ISBLANK(G11)),"·",AA11*G11/F11/1000000)</f>
        <v/>
      </c>
      <c r="Y11" s="22">
        <f>IF(ISBLANK(AA11),"·",AA11/D11)</f>
        <v/>
      </c>
      <c r="Z11" s="45" t="n">
        <v>605952</v>
      </c>
      <c r="AA11" s="23" t="n">
        <v>833144</v>
      </c>
      <c r="AB11" s="46" t="n">
        <v>71.9540985</v>
      </c>
      <c r="AC11" s="46" t="n">
        <v>74.0441108</v>
      </c>
      <c r="AD11" s="46" t="n">
        <v>29.8110172</v>
      </c>
      <c r="AE11" s="46" t="n">
        <v>43.1326364</v>
      </c>
      <c r="AF11" s="46" t="n">
        <v>43.2723392</v>
      </c>
      <c r="AG11" s="46" t="n">
        <v>48.3327548</v>
      </c>
      <c r="AH11" s="46" t="n">
        <v>29.2569162</v>
      </c>
      <c r="AI11" s="24" t="n">
        <v>122.843905</v>
      </c>
      <c r="AJ11" s="24" t="n">
        <v>1.15053925</v>
      </c>
      <c r="AL11" s="25" t="n"/>
      <c r="AM11" s="25" t="n"/>
      <c r="AN11" s="25" t="n"/>
      <c r="AO11" s="25" t="n"/>
      <c r="AP11" s="25" t="n"/>
      <c r="AQ11" s="25" t="n"/>
      <c r="AR11" s="25" t="n"/>
    </row>
    <row r="12" outlineLevel="1" s="5">
      <c r="A12" s="75" t="n"/>
      <c r="B12" s="75" t="inlineStr">
        <is>
          <t>soldier_voxelised</t>
        </is>
      </c>
      <c r="C12" s="36" t="inlineStr">
        <is>
          <t>r03</t>
        </is>
      </c>
      <c r="D12" s="75" t="n">
        <v>9000000</v>
      </c>
      <c r="E12" s="35" t="n">
        <v>10</v>
      </c>
      <c r="F12" s="36" t="n">
        <v>4</v>
      </c>
      <c r="G12" s="36" t="n">
        <v>30</v>
      </c>
      <c r="H12" s="36" t="n">
        <v>12</v>
      </c>
      <c r="J12" s="37">
        <f>IF(OR(ISBLANK(M12),ISBLANK(G12)),"·",M12*G12/F12/1000000)</f>
        <v/>
      </c>
      <c r="K12" s="38">
        <f>IF(ISBLANK(M12),"·",M12/D12)</f>
        <v/>
      </c>
      <c r="L12" s="47" t="n">
        <v>605952</v>
      </c>
      <c r="M12" s="39" t="n">
        <v>1552776</v>
      </c>
      <c r="N12" s="48" t="n">
        <v>71.9540985</v>
      </c>
      <c r="O12" s="48" t="n">
        <v>74.0441108</v>
      </c>
      <c r="P12" s="48" t="n">
        <v>34.4938833</v>
      </c>
      <c r="Q12" s="48" t="n">
        <v>45.4256925</v>
      </c>
      <c r="R12" s="48" t="n">
        <v>45.8016685</v>
      </c>
      <c r="S12" s="48" t="n">
        <v>48.3327548</v>
      </c>
      <c r="T12" s="48" t="n">
        <v>32.725446</v>
      </c>
      <c r="U12" s="40" t="n">
        <v>124.121981</v>
      </c>
      <c r="V12" s="40" t="n">
        <v>1.42836343</v>
      </c>
      <c r="X12" s="37">
        <f>IF(OR(ISBLANK(AA12),ISBLANK(G12)),"·",AA12*G12/F12/1000000)</f>
        <v/>
      </c>
      <c r="Y12" s="38">
        <f>IF(ISBLANK(AA12),"·",AA12/D12)</f>
        <v/>
      </c>
      <c r="Z12" s="47" t="n">
        <v>605952</v>
      </c>
      <c r="AA12" s="39" t="n">
        <v>1030696</v>
      </c>
      <c r="AB12" s="48" t="n">
        <v>71.9540985</v>
      </c>
      <c r="AC12" s="48" t="n">
        <v>74.0441108</v>
      </c>
      <c r="AD12" s="48" t="n">
        <v>31.517463</v>
      </c>
      <c r="AE12" s="48" t="n">
        <v>43.7165158</v>
      </c>
      <c r="AF12" s="48" t="n">
        <v>43.908506</v>
      </c>
      <c r="AG12" s="48" t="n">
        <v>48.3327548</v>
      </c>
      <c r="AH12" s="48" t="n">
        <v>30.6467992</v>
      </c>
      <c r="AI12" s="40" t="n">
        <v>135.483829</v>
      </c>
      <c r="AJ12" s="40" t="n">
        <v>1.2048752</v>
      </c>
      <c r="AL12" s="41" t="n"/>
      <c r="AM12" s="41" t="n"/>
      <c r="AN12" s="41" t="n"/>
      <c r="AO12" s="41" t="n"/>
      <c r="AP12" s="41" t="n"/>
      <c r="AQ12" s="41" t="n"/>
      <c r="AR12" s="41" t="n"/>
    </row>
    <row r="13" outlineLevel="1" s="5">
      <c r="A13" s="74" t="n"/>
      <c r="B13" s="74" t="inlineStr">
        <is>
          <t>soldier_voxelised</t>
        </is>
      </c>
      <c r="C13" s="20" t="inlineStr">
        <is>
          <t>r04</t>
        </is>
      </c>
      <c r="D13" s="74" t="n">
        <v>9000000</v>
      </c>
      <c r="E13" s="19" t="n">
        <v>10</v>
      </c>
      <c r="F13" s="20" t="n">
        <v>4</v>
      </c>
      <c r="G13" s="20" t="n">
        <v>30</v>
      </c>
      <c r="H13" s="20" t="n">
        <v>15</v>
      </c>
      <c r="J13" s="21">
        <f>IF(OR(ISBLANK(M13),ISBLANK(G13)),"·",M13*G13/F13/1000000)</f>
        <v/>
      </c>
      <c r="K13" s="22">
        <f>IF(ISBLANK(M13),"·",M13/D13)</f>
        <v/>
      </c>
      <c r="L13" s="45" t="n">
        <v>76620</v>
      </c>
      <c r="M13" s="23" t="n">
        <v>1991544</v>
      </c>
      <c r="N13" s="46" t="n">
        <v>76.32747999999999</v>
      </c>
      <c r="O13" s="46" t="n">
        <v>78.5439087</v>
      </c>
      <c r="P13" s="46" t="n">
        <v>34.8400566</v>
      </c>
      <c r="Q13" s="46" t="n">
        <v>45.4756195</v>
      </c>
      <c r="R13" s="46" t="n">
        <v>45.8851629</v>
      </c>
      <c r="S13" s="46" t="n">
        <v>51.152127</v>
      </c>
      <c r="T13" s="46" t="n">
        <v>33.8357381</v>
      </c>
      <c r="U13" s="24" t="n">
        <v>270.9894</v>
      </c>
      <c r="V13" s="24" t="n">
        <v>1.36757313</v>
      </c>
      <c r="X13" s="21">
        <f>IF(OR(ISBLANK(AA13),ISBLANK(G13)),"·",AA13*G13/F13/1000000)</f>
        <v/>
      </c>
      <c r="Y13" s="22">
        <f>IF(ISBLANK(AA13),"·",AA13/D13)</f>
        <v/>
      </c>
      <c r="Z13" s="45" t="n">
        <v>76620</v>
      </c>
      <c r="AA13" s="23" t="n">
        <v>1455248</v>
      </c>
      <c r="AB13" s="46" t="n">
        <v>76.32747999999999</v>
      </c>
      <c r="AC13" s="46" t="n">
        <v>78.5439087</v>
      </c>
      <c r="AD13" s="46" t="n">
        <v>31.7504018</v>
      </c>
      <c r="AE13" s="46" t="n">
        <v>43.8643985</v>
      </c>
      <c r="AF13" s="46" t="n">
        <v>44.033604</v>
      </c>
      <c r="AG13" s="46" t="n">
        <v>51.152127</v>
      </c>
      <c r="AH13" s="46" t="n">
        <v>31.2473826</v>
      </c>
      <c r="AI13" s="24" t="n">
        <v>355.855059</v>
      </c>
      <c r="AJ13" s="24" t="n">
        <v>1.05033357</v>
      </c>
      <c r="AL13" s="25" t="n"/>
      <c r="AM13" s="25" t="n"/>
      <c r="AN13" s="25" t="n"/>
      <c r="AO13" s="25" t="n"/>
      <c r="AP13" s="25" t="n"/>
      <c r="AQ13" s="25" t="n"/>
      <c r="AR13" s="25" t="n"/>
    </row>
    <row r="14" outlineLevel="1" ht="15.75" customHeight="1" s="5" thickBot="1">
      <c r="A14" s="26" t="n"/>
      <c r="B14" s="26" t="inlineStr">
        <is>
          <t>soldier_voxelised</t>
        </is>
      </c>
      <c r="C14" s="28" t="inlineStr">
        <is>
          <t>r05</t>
        </is>
      </c>
      <c r="D14" s="26" t="n">
        <v>9000000</v>
      </c>
      <c r="E14" s="27" t="n">
        <v>10</v>
      </c>
      <c r="F14" s="28" t="n">
        <v>4</v>
      </c>
      <c r="G14" s="28" t="n">
        <v>30</v>
      </c>
      <c r="H14" s="28" t="n">
        <v>22</v>
      </c>
      <c r="J14" s="29">
        <f>IF(OR(ISBLANK(M14),ISBLANK(G14)),"·",M14*G14/F14/1000000)</f>
        <v/>
      </c>
      <c r="K14" s="30">
        <f>IF(ISBLANK(M14),"·",M14/D14)</f>
        <v/>
      </c>
      <c r="L14" s="59" t="n">
        <v>159912</v>
      </c>
      <c r="M14" s="31" t="n">
        <v>2908816</v>
      </c>
      <c r="N14" s="60" t="n">
        <v>999.99</v>
      </c>
      <c r="O14" s="60" t="n">
        <v>185.326667</v>
      </c>
      <c r="P14" s="60" t="n">
        <v>36.856076</v>
      </c>
      <c r="Q14" s="60" t="n">
        <v>45.8259149</v>
      </c>
      <c r="R14" s="60" t="n">
        <v>46.2928142</v>
      </c>
      <c r="S14" s="60" t="n">
        <v>999.99</v>
      </c>
      <c r="T14" s="60" t="n">
        <v>36.7552371</v>
      </c>
      <c r="U14" s="32" t="n">
        <v>85.6382383</v>
      </c>
      <c r="V14" s="32" t="n">
        <v>1.42835146</v>
      </c>
      <c r="X14" s="29">
        <f>IF(OR(ISBLANK(AA14),ISBLANK(G14)),"·",AA14*G14/F14/1000000)</f>
        <v/>
      </c>
      <c r="Y14" s="30">
        <f>IF(ISBLANK(AA14),"·",AA14/D14)</f>
        <v/>
      </c>
      <c r="Z14" s="59" t="n">
        <v>159912</v>
      </c>
      <c r="AA14" s="31" t="n">
        <v>2213464</v>
      </c>
      <c r="AB14" s="60" t="n">
        <v>999.99</v>
      </c>
      <c r="AC14" s="60" t="n">
        <v>185.326667</v>
      </c>
      <c r="AD14" s="60" t="n">
        <v>33.470702</v>
      </c>
      <c r="AE14" s="60" t="n">
        <v>43.8576469</v>
      </c>
      <c r="AF14" s="60" t="n">
        <v>44.1797058</v>
      </c>
      <c r="AG14" s="60" t="n">
        <v>999.99</v>
      </c>
      <c r="AH14" s="60" t="n">
        <v>33.35258</v>
      </c>
      <c r="AI14" s="32" t="n">
        <v>42.3815777</v>
      </c>
      <c r="AJ14" s="32" t="n">
        <v>1.11324953</v>
      </c>
      <c r="AL14" s="33" t="n"/>
      <c r="AM14" s="33" t="n"/>
      <c r="AN14" s="33" t="n"/>
      <c r="AO14" s="33" t="n"/>
      <c r="AP14" s="33" t="n"/>
      <c r="AQ14" s="33" t="n"/>
      <c r="AR14" s="33" t="n"/>
    </row>
    <row r="15">
      <c r="A15" s="74" t="inlineStr">
        <is>
          <t>cat1-B</t>
        </is>
      </c>
      <c r="B15" s="74" t="inlineStr">
        <is>
          <t>basketball_player_voxelised</t>
        </is>
      </c>
      <c r="C15" s="20" t="inlineStr">
        <is>
          <t>r01</t>
        </is>
      </c>
      <c r="D15" s="74" t="n">
        <v>11842002</v>
      </c>
      <c r="E15" s="19" t="n">
        <v>12</v>
      </c>
      <c r="F15" s="20" t="n">
        <v>4</v>
      </c>
      <c r="G15" s="20" t="n">
        <v>30</v>
      </c>
      <c r="H15" s="20" t="n">
        <v>3</v>
      </c>
      <c r="J15" s="21">
        <f>IF(OR(ISBLANK(M15),ISBLANK(G15)),"·",M15*G15/F15/1000000)</f>
        <v/>
      </c>
      <c r="K15" s="22">
        <f>IF(ISBLANK(M15),"·",M15/D15)</f>
        <v/>
      </c>
      <c r="L15" s="45" t="n">
        <v>302336</v>
      </c>
      <c r="M15" s="23" t="n">
        <v>369736</v>
      </c>
      <c r="N15" s="46" t="n">
        <v>66.6022742</v>
      </c>
      <c r="O15" s="46" t="n">
        <v>67.3525176</v>
      </c>
      <c r="P15" s="46" t="n">
        <v>34.7732116</v>
      </c>
      <c r="Q15" s="46" t="n">
        <v>43.2301651</v>
      </c>
      <c r="R15" s="46" t="n">
        <v>44.9272264</v>
      </c>
      <c r="S15" s="46" t="n">
        <v>43.1497794</v>
      </c>
      <c r="T15" s="46" t="n">
        <v>30.3434083</v>
      </c>
      <c r="U15" s="24" t="n">
        <v>115.714335</v>
      </c>
      <c r="V15" s="24" t="n">
        <v>1.28685696</v>
      </c>
      <c r="X15" s="21">
        <f>IF(OR(ISBLANK(AA15),ISBLANK(G15)),"·",AA15*G15/F15/1000000)</f>
        <v/>
      </c>
      <c r="Y15" s="22">
        <f>IF(ISBLANK(AA15),"·",AA15/D15)</f>
        <v/>
      </c>
      <c r="Z15" s="45" t="n">
        <v>302336</v>
      </c>
      <c r="AA15" s="23" t="n">
        <v>238608</v>
      </c>
      <c r="AB15" s="46" t="n">
        <v>66.6022742</v>
      </c>
      <c r="AC15" s="46" t="n">
        <v>67.3525176</v>
      </c>
      <c r="AD15" s="46" t="n">
        <v>32.2877639</v>
      </c>
      <c r="AE15" s="46" t="n">
        <v>42.2130913</v>
      </c>
      <c r="AF15" s="46" t="n">
        <v>43.1353853</v>
      </c>
      <c r="AG15" s="46" t="n">
        <v>43.1497794</v>
      </c>
      <c r="AH15" s="46" t="n">
        <v>29.5722921</v>
      </c>
      <c r="AI15" s="24" t="n">
        <v>109.65002</v>
      </c>
      <c r="AJ15" s="24" t="n">
        <v>1.17092518</v>
      </c>
      <c r="AL15" s="25">
        <f t="array" ref="AL15">IF( OR(AND(ISBLANK(M15:M19)),AND(ISBLANK(AA15:AA19)), AND(ISBLANK(N15:N19)),AND(ISBLANK(AB15:AB19))), "·", bdRateExtend( M15:M19,N15:N19, AA15:AA19,AB15:AB19))</f>
        <v/>
      </c>
      <c r="AM15" s="25">
        <f t="array" ref="AM15">IF( OR(AND(ISBLANK(M15:M19)),AND(ISBLANK(AA15:AA19)), AND(ISBLANK(O15:O19)),AND(ISBLANK(AC15:AC19))), "·", bdRateExtend( M15:M19,O15:O19, AA15:AA19,AC15:AC19))</f>
        <v/>
      </c>
      <c r="AN15" s="25">
        <f t="array" ref="AN15">IF( OR(AND(ISBLANK(M15:M19)),AND(ISBLANK(AA15:AA19)), AND(ISBLANK(P15:P19)),AND(ISBLANK(AD15:AD19))), "·", bdRateExtend( M15:M19,P15:P19, AA15:AA19,AD15:AD19))</f>
        <v/>
      </c>
      <c r="AO15" s="25">
        <f t="array" ref="AO15">IF( OR(AND(ISBLANK(M15:M19)),AND(ISBLANK(AA15:AA19)), AND(ISBLANK(Q15:Q19)),AND(ISBLANK(AE15:AE19))), "·", bdRateExtend( M15:M19,Q15:Q19, AA15:AA19,AE15:AE19))</f>
        <v/>
      </c>
      <c r="AP15" s="25">
        <f t="array" ref="AP15">IF( OR(AND(ISBLANK(M15:M19)),AND(ISBLANK(AA15:AA19)), AND(ISBLANK(R15:R19)),AND(ISBLANK(AF15:AF19))), "·", bdRateExtend( M15:M19,R15:R19, AA15:AA19,AF15:AF19))</f>
        <v/>
      </c>
      <c r="AQ15" s="25">
        <f t="array" ref="AQ15">IF( OR(AND(ISBLANK(M15:M19)),AND(ISBLANK(AA15:AA19)), AND(ISBLANK(S15:S19)),AND(ISBLANK(AG15:AG19))), "·", bdRateExtend( M15:M19,S15:S19, AA15:AA19,AG15:AG19))</f>
        <v/>
      </c>
      <c r="AR15" s="25">
        <f t="array" ref="AR15">IF( OR(AND(ISBLANK(M15:M19)),AND(ISBLANK(AA15:AA19)), AND(ISBLANK(T15:T19)),AND(ISBLANK(AH15:AH19))), "·", bdRateExtend( M15:M19,T15:T19, AA15:AA19,AH15:AH19))</f>
        <v/>
      </c>
    </row>
    <row r="16" outlineLevel="1" s="5">
      <c r="A16" s="75" t="n"/>
      <c r="B16" s="75" t="inlineStr">
        <is>
          <t>basketball_player_voxelised</t>
        </is>
      </c>
      <c r="C16" s="36" t="inlineStr">
        <is>
          <t>r02</t>
        </is>
      </c>
      <c r="D16" s="75" t="n">
        <v>11842002</v>
      </c>
      <c r="E16" s="35" t="n">
        <v>12</v>
      </c>
      <c r="F16" s="36" t="n">
        <v>4</v>
      </c>
      <c r="G16" s="36" t="n">
        <v>30</v>
      </c>
      <c r="H16" s="36" t="n">
        <v>5</v>
      </c>
      <c r="J16" s="37">
        <f>IF(OR(ISBLANK(M16),ISBLANK(G16)),"·",M16*G16/F16/1000000)</f>
        <v/>
      </c>
      <c r="K16" s="38">
        <f>IF(ISBLANK(M16),"·",M16/D16)</f>
        <v/>
      </c>
      <c r="L16" s="47" t="n">
        <v>302336</v>
      </c>
      <c r="M16" s="39" t="n">
        <v>607640</v>
      </c>
      <c r="N16" s="48" t="n">
        <v>73.7798607</v>
      </c>
      <c r="O16" s="48" t="n">
        <v>75.3632394</v>
      </c>
      <c r="P16" s="48" t="n">
        <v>36.4332511</v>
      </c>
      <c r="Q16" s="48" t="n">
        <v>43.3783117</v>
      </c>
      <c r="R16" s="48" t="n">
        <v>45.3686015</v>
      </c>
      <c r="S16" s="48" t="n">
        <v>47.0154923</v>
      </c>
      <c r="T16" s="48" t="n">
        <v>33.6177564</v>
      </c>
      <c r="U16" s="40" t="n">
        <v>109.565206</v>
      </c>
      <c r="V16" s="40" t="n">
        <v>1.28762362</v>
      </c>
      <c r="X16" s="37">
        <f>IF(OR(ISBLANK(AA16),ISBLANK(G16)),"·",AA16*G16/F16/1000000)</f>
        <v/>
      </c>
      <c r="Y16" s="38">
        <f>IF(ISBLANK(AA16),"·",AA16/D16)</f>
        <v/>
      </c>
      <c r="Z16" s="47" t="n">
        <v>302336</v>
      </c>
      <c r="AA16" s="39" t="n">
        <v>428336</v>
      </c>
      <c r="AB16" s="48" t="n">
        <v>73.7798607</v>
      </c>
      <c r="AC16" s="48" t="n">
        <v>75.3632394</v>
      </c>
      <c r="AD16" s="48" t="n">
        <v>33.6148159</v>
      </c>
      <c r="AE16" s="48" t="n">
        <v>42.3540086</v>
      </c>
      <c r="AF16" s="48" t="n">
        <v>43.56254</v>
      </c>
      <c r="AG16" s="48" t="n">
        <v>47.0154923</v>
      </c>
      <c r="AH16" s="48" t="n">
        <v>32.123144</v>
      </c>
      <c r="AI16" s="40" t="n">
        <v>103.75596</v>
      </c>
      <c r="AJ16" s="40" t="n">
        <v>1.17903296</v>
      </c>
      <c r="AL16" s="41" t="n"/>
      <c r="AM16" s="41" t="n"/>
      <c r="AN16" s="41" t="n"/>
      <c r="AO16" s="41" t="n"/>
      <c r="AP16" s="41" t="n"/>
      <c r="AQ16" s="41" t="n"/>
      <c r="AR16" s="41" t="n"/>
    </row>
    <row r="17" outlineLevel="1" s="5">
      <c r="A17" s="74" t="n"/>
      <c r="B17" s="74" t="inlineStr">
        <is>
          <t>basketball_player_voxelised</t>
        </is>
      </c>
      <c r="C17" s="20" t="inlineStr">
        <is>
          <t>r03</t>
        </is>
      </c>
      <c r="D17" s="74" t="n">
        <v>11842002</v>
      </c>
      <c r="E17" s="19" t="n">
        <v>12</v>
      </c>
      <c r="F17" s="20" t="n">
        <v>4</v>
      </c>
      <c r="G17" s="20" t="n">
        <v>30</v>
      </c>
      <c r="H17" s="20" t="n">
        <v>10</v>
      </c>
      <c r="J17" s="21">
        <f>IF(OR(ISBLANK(M17),ISBLANK(G17)),"·",M17*G17/F17/1000000)</f>
        <v/>
      </c>
      <c r="K17" s="22">
        <f>IF(ISBLANK(M17),"·",M17/D17)</f>
        <v/>
      </c>
      <c r="L17" s="45" t="n">
        <v>604992</v>
      </c>
      <c r="M17" s="23" t="n">
        <v>1275056</v>
      </c>
      <c r="N17" s="46" t="n">
        <v>77.0945961</v>
      </c>
      <c r="O17" s="46" t="n">
        <v>79.1626661</v>
      </c>
      <c r="P17" s="46" t="n">
        <v>39.2016748</v>
      </c>
      <c r="Q17" s="46" t="n">
        <v>44.7509233</v>
      </c>
      <c r="R17" s="46" t="n">
        <v>47.8665031</v>
      </c>
      <c r="S17" s="46" t="n">
        <v>48.5656455</v>
      </c>
      <c r="T17" s="46" t="n">
        <v>36.0810843</v>
      </c>
      <c r="U17" s="24" t="n">
        <v>125.809527</v>
      </c>
      <c r="V17" s="24" t="n">
        <v>1.40520195</v>
      </c>
      <c r="X17" s="21">
        <f>IF(OR(ISBLANK(AA17),ISBLANK(G17)),"·",AA17*G17/F17/1000000)</f>
        <v/>
      </c>
      <c r="Y17" s="22">
        <f>IF(ISBLANK(AA17),"·",AA17/D17)</f>
        <v/>
      </c>
      <c r="Z17" s="45" t="n">
        <v>604992</v>
      </c>
      <c r="AA17" s="23" t="n">
        <v>840800</v>
      </c>
      <c r="AB17" s="46" t="n">
        <v>77.0945961</v>
      </c>
      <c r="AC17" s="46" t="n">
        <v>79.1626661</v>
      </c>
      <c r="AD17" s="46" t="n">
        <v>36.4275698</v>
      </c>
      <c r="AE17" s="46" t="n">
        <v>43.6437231</v>
      </c>
      <c r="AF17" s="46" t="n">
        <v>45.8664764</v>
      </c>
      <c r="AG17" s="46" t="n">
        <v>48.5656455</v>
      </c>
      <c r="AH17" s="46" t="n">
        <v>34.6726034</v>
      </c>
      <c r="AI17" s="24" t="n">
        <v>112.777171</v>
      </c>
      <c r="AJ17" s="24" t="n">
        <v>1.5053859</v>
      </c>
      <c r="AL17" s="25" t="n"/>
      <c r="AM17" s="25" t="n"/>
      <c r="AN17" s="25" t="n"/>
      <c r="AO17" s="25" t="n"/>
      <c r="AP17" s="25" t="n"/>
      <c r="AQ17" s="25" t="n"/>
      <c r="AR17" s="25" t="n"/>
    </row>
    <row r="18" outlineLevel="1" s="5">
      <c r="A18" s="75" t="n"/>
      <c r="B18" s="75" t="inlineStr">
        <is>
          <t>basketball_player_voxelised</t>
        </is>
      </c>
      <c r="C18" s="36" t="inlineStr">
        <is>
          <t>r04</t>
        </is>
      </c>
      <c r="D18" s="75" t="n">
        <v>11842002</v>
      </c>
      <c r="E18" s="35" t="n">
        <v>12</v>
      </c>
      <c r="F18" s="36" t="n">
        <v>4</v>
      </c>
      <c r="G18" s="36" t="n">
        <v>30</v>
      </c>
      <c r="H18" s="36" t="n">
        <v>14</v>
      </c>
      <c r="J18" s="37">
        <f>IF(OR(ISBLANK(M18),ISBLANK(G18)),"·",M18*G18/F18/1000000)</f>
        <v/>
      </c>
      <c r="K18" s="38">
        <f>IF(ISBLANK(M18),"·",M18/D18)</f>
        <v/>
      </c>
      <c r="L18" s="47" t="n">
        <v>56736</v>
      </c>
      <c r="M18" s="39" t="n">
        <v>1753152</v>
      </c>
      <c r="N18" s="48" t="n">
        <v>80.6262255</v>
      </c>
      <c r="O18" s="48" t="n">
        <v>83.3000583</v>
      </c>
      <c r="P18" s="48" t="n">
        <v>39.7701063</v>
      </c>
      <c r="Q18" s="48" t="n">
        <v>44.701691</v>
      </c>
      <c r="R18" s="48" t="n">
        <v>47.8157535</v>
      </c>
      <c r="S18" s="48" t="n">
        <v>50.6608749</v>
      </c>
      <c r="T18" s="48" t="n">
        <v>37.7148829</v>
      </c>
      <c r="U18" s="40" t="n">
        <v>194.492512</v>
      </c>
      <c r="V18" s="40" t="n">
        <v>1.33570483</v>
      </c>
      <c r="X18" s="37">
        <f>IF(OR(ISBLANK(AA18),ISBLANK(G18)),"·",AA18*G18/F18/1000000)</f>
        <v/>
      </c>
      <c r="Y18" s="38">
        <f>IF(ISBLANK(AA18),"·",AA18/D18)</f>
        <v/>
      </c>
      <c r="Z18" s="47" t="n">
        <v>56736</v>
      </c>
      <c r="AA18" s="39" t="n">
        <v>1280880</v>
      </c>
      <c r="AB18" s="48" t="n">
        <v>80.6262255</v>
      </c>
      <c r="AC18" s="48" t="n">
        <v>83.3000583</v>
      </c>
      <c r="AD18" s="48" t="n">
        <v>36.8879123</v>
      </c>
      <c r="AE18" s="48" t="n">
        <v>43.61142</v>
      </c>
      <c r="AF18" s="48" t="n">
        <v>45.8690756</v>
      </c>
      <c r="AG18" s="48" t="n">
        <v>50.6608749</v>
      </c>
      <c r="AH18" s="48" t="n">
        <v>35.8500788</v>
      </c>
      <c r="AI18" s="40" t="n">
        <v>209.682929</v>
      </c>
      <c r="AJ18" s="40" t="n">
        <v>1.06359847</v>
      </c>
      <c r="AL18" s="41" t="n"/>
      <c r="AM18" s="41" t="n"/>
      <c r="AN18" s="41" t="n"/>
      <c r="AO18" s="41" t="n"/>
      <c r="AP18" s="41" t="n"/>
      <c r="AQ18" s="41" t="n"/>
      <c r="AR18" s="41" t="n"/>
    </row>
    <row r="19" outlineLevel="1" ht="15.75" customHeight="1" s="5" thickBot="1">
      <c r="A19" s="74" t="n"/>
      <c r="B19" s="49" t="inlineStr">
        <is>
          <t>basketball_player_voxelised</t>
        </is>
      </c>
      <c r="C19" s="50" t="inlineStr">
        <is>
          <t>r05</t>
        </is>
      </c>
      <c r="D19" s="49" t="n">
        <v>11842002</v>
      </c>
      <c r="E19" s="51" t="n">
        <v>12</v>
      </c>
      <c r="F19" s="50" t="n">
        <v>4</v>
      </c>
      <c r="G19" s="50" t="n">
        <v>30</v>
      </c>
      <c r="H19" s="50" t="n">
        <v>21</v>
      </c>
      <c r="J19" s="52">
        <f>IF(OR(ISBLANK(M19),ISBLANK(G19)),"·",M19*G19/F19/1000000)</f>
        <v/>
      </c>
      <c r="K19" s="53">
        <f>IF(ISBLANK(M19),"·",M19/D19)</f>
        <v/>
      </c>
      <c r="L19" s="54" t="n">
        <v>75646</v>
      </c>
      <c r="M19" s="55" t="n">
        <v>2627488</v>
      </c>
      <c r="N19" s="56" t="n">
        <v>83.9721507</v>
      </c>
      <c r="O19" s="56" t="n">
        <v>87.5484728</v>
      </c>
      <c r="P19" s="56" t="n">
        <v>41.4066455</v>
      </c>
      <c r="Q19" s="56" t="n">
        <v>45.7600776</v>
      </c>
      <c r="R19" s="56" t="n">
        <v>49.5003998</v>
      </c>
      <c r="S19" s="56" t="n">
        <v>54.5117085</v>
      </c>
      <c r="T19" s="56" t="n">
        <v>39.9731581</v>
      </c>
      <c r="U19" s="57" t="n">
        <v>198.639176</v>
      </c>
      <c r="V19" s="57" t="n">
        <v>1.39798753</v>
      </c>
      <c r="X19" s="52">
        <f>IF(OR(ISBLANK(AA19),ISBLANK(G19)),"·",AA19*G19/F19/1000000)</f>
        <v/>
      </c>
      <c r="Y19" s="53">
        <f>IF(ISBLANK(AA19),"·",AA19/D19)</f>
        <v/>
      </c>
      <c r="Z19" s="54" t="n">
        <v>75646</v>
      </c>
      <c r="AA19" s="55" t="n">
        <v>1826912</v>
      </c>
      <c r="AB19" s="56" t="n">
        <v>83.9721507</v>
      </c>
      <c r="AC19" s="56" t="n">
        <v>87.5484728</v>
      </c>
      <c r="AD19" s="56" t="n">
        <v>38.300743</v>
      </c>
      <c r="AE19" s="56" t="n">
        <v>44.538405</v>
      </c>
      <c r="AF19" s="56" t="n">
        <v>47.5684833</v>
      </c>
      <c r="AG19" s="56" t="n">
        <v>54.5117085</v>
      </c>
      <c r="AH19" s="56" t="n">
        <v>37.6913882</v>
      </c>
      <c r="AI19" s="57" t="n">
        <v>225.576081</v>
      </c>
      <c r="AJ19" s="57" t="n">
        <v>1.30130757</v>
      </c>
      <c r="AL19" s="58" t="n"/>
      <c r="AM19" s="58" t="n"/>
      <c r="AN19" s="58" t="n"/>
      <c r="AO19" s="58" t="n"/>
      <c r="AP19" s="58" t="n"/>
      <c r="AQ19" s="58" t="n"/>
      <c r="AR19" s="58" t="n"/>
    </row>
    <row r="20">
      <c r="A20" s="75" t="n"/>
      <c r="B20" s="75" t="inlineStr">
        <is>
          <t>dancer_voxelised</t>
        </is>
      </c>
      <c r="C20" s="36" t="inlineStr">
        <is>
          <t>r01</t>
        </is>
      </c>
      <c r="D20" s="75" t="n">
        <v>11812090</v>
      </c>
      <c r="E20" s="35" t="n">
        <v>12</v>
      </c>
      <c r="F20" s="36" t="n">
        <v>4</v>
      </c>
      <c r="G20" s="36" t="n">
        <v>30</v>
      </c>
      <c r="H20" s="36" t="n">
        <v>3</v>
      </c>
      <c r="J20" s="37">
        <f>IF(OR(ISBLANK(M20),ISBLANK(G20)),"·",M20*G20/F20/1000000)</f>
        <v/>
      </c>
      <c r="K20" s="38">
        <f>IF(ISBLANK(M20),"·",M20/D20)</f>
        <v/>
      </c>
      <c r="L20" s="47" t="n">
        <v>302208</v>
      </c>
      <c r="M20" s="39" t="n">
        <v>400360</v>
      </c>
      <c r="N20" s="48" t="n">
        <v>66.7726691</v>
      </c>
      <c r="O20" s="48" t="n">
        <v>67.65774020000001</v>
      </c>
      <c r="P20" s="48" t="n">
        <v>33.7175885</v>
      </c>
      <c r="Q20" s="48" t="n">
        <v>43.3680316</v>
      </c>
      <c r="R20" s="48" t="n">
        <v>44.8258955</v>
      </c>
      <c r="S20" s="48" t="n">
        <v>45.9227485</v>
      </c>
      <c r="T20" s="48" t="n">
        <v>29.200677</v>
      </c>
      <c r="U20" s="40" t="n">
        <v>111.903313</v>
      </c>
      <c r="V20" s="40" t="n">
        <v>1.23622552</v>
      </c>
      <c r="X20" s="37">
        <f>IF(OR(ISBLANK(AA20),ISBLANK(G20)),"·",AA20*G20/F20/1000000)</f>
        <v/>
      </c>
      <c r="Y20" s="38">
        <f>IF(ISBLANK(AA20),"·",AA20/D20)</f>
        <v/>
      </c>
      <c r="Z20" s="47" t="n">
        <v>302208</v>
      </c>
      <c r="AA20" s="39" t="n">
        <v>252920</v>
      </c>
      <c r="AB20" s="48" t="n">
        <v>66.7726691</v>
      </c>
      <c r="AC20" s="48" t="n">
        <v>67.65774020000001</v>
      </c>
      <c r="AD20" s="48" t="n">
        <v>31.343693</v>
      </c>
      <c r="AE20" s="48" t="n">
        <v>42.1588948</v>
      </c>
      <c r="AF20" s="48" t="n">
        <v>42.9727652</v>
      </c>
      <c r="AG20" s="48" t="n">
        <v>45.9227485</v>
      </c>
      <c r="AH20" s="48" t="n">
        <v>28.4720872</v>
      </c>
      <c r="AI20" s="40" t="n">
        <v>83.559185</v>
      </c>
      <c r="AJ20" s="40" t="n">
        <v>0.973972599</v>
      </c>
      <c r="AL20" s="41">
        <f t="array" ref="AL20">IF( OR(AND(ISBLANK(M20:M24)),AND(ISBLANK(AA20:AA24)), AND(ISBLANK(N20:N24)),AND(ISBLANK(AB20:AB24))), "·", bdRateExtend( M20:M24,N20:N24, AA20:AA24,AB20:AB24))</f>
        <v/>
      </c>
      <c r="AM20" s="41">
        <f t="array" ref="AM20">IF( OR(AND(ISBLANK(M20:M24)),AND(ISBLANK(AA20:AA24)), AND(ISBLANK(O20:O24)),AND(ISBLANK(AC20:AC24))), "·", bdRateExtend( M20:M24,O20:O24, AA20:AA24,AC20:AC24))</f>
        <v/>
      </c>
      <c r="AN20" s="41">
        <f t="array" ref="AN20">IF( OR(AND(ISBLANK(M20:M24)),AND(ISBLANK(AA20:AA24)), AND(ISBLANK(P20:P24)),AND(ISBLANK(AD20:AD24))), "·", bdRateExtend( M20:M24,P20:P24, AA20:AA24,AD20:AD24))</f>
        <v/>
      </c>
      <c r="AO20" s="41">
        <f t="array" ref="AO20">IF( OR(AND(ISBLANK(M20:M24)),AND(ISBLANK(AA20:AA24)), AND(ISBLANK(Q20:Q24)),AND(ISBLANK(AE20:AE24))), "·", bdRateExtend( M20:M24,Q20:Q24, AA20:AA24,AE20:AE24))</f>
        <v/>
      </c>
      <c r="AP20" s="41">
        <f t="array" ref="AP20">IF( OR(AND(ISBLANK(M20:M24)),AND(ISBLANK(AA20:AA24)), AND(ISBLANK(R20:R24)),AND(ISBLANK(AF20:AF24))), "·", bdRateExtend( M20:M24,R20:R24, AA20:AA24,AF20:AF24))</f>
        <v/>
      </c>
      <c r="AQ20" s="41">
        <f t="array" ref="AQ20">IF( OR(AND(ISBLANK(M20:M24)),AND(ISBLANK(AA20:AA24)), AND(ISBLANK(S20:S24)),AND(ISBLANK(AG20:AG24))), "·", bdRateExtend( M20:M24,S20:S24, AA20:AA24,AG20:AG24))</f>
        <v/>
      </c>
      <c r="AR20" s="41">
        <f t="array" ref="AR20">IF( OR(AND(ISBLANK(M20:M24)),AND(ISBLANK(AA20:AA24)), AND(ISBLANK(T20:T24)),AND(ISBLANK(AH20:AH24))), "·", bdRateExtend( M20:M24,T20:T24, AA20:AA24,AH20:AH24))</f>
        <v/>
      </c>
    </row>
    <row r="21" outlineLevel="1" s="5">
      <c r="A21" s="74" t="n"/>
      <c r="B21" s="74" t="inlineStr">
        <is>
          <t>dancer_voxelised</t>
        </is>
      </c>
      <c r="C21" s="20" t="inlineStr">
        <is>
          <t>r02</t>
        </is>
      </c>
      <c r="D21" s="74" t="n">
        <v>11812090</v>
      </c>
      <c r="E21" s="19" t="n">
        <v>12</v>
      </c>
      <c r="F21" s="20" t="n">
        <v>4</v>
      </c>
      <c r="G21" s="20" t="n">
        <v>30</v>
      </c>
      <c r="H21" s="20" t="n">
        <v>5</v>
      </c>
      <c r="J21" s="21">
        <f>IF(OR(ISBLANK(M21),ISBLANK(G21)),"·",M21*G21/F21/1000000)</f>
        <v/>
      </c>
      <c r="K21" s="22">
        <f>IF(ISBLANK(M21),"·",M21/D21)</f>
        <v/>
      </c>
      <c r="L21" s="45" t="n">
        <v>302208</v>
      </c>
      <c r="M21" s="23" t="n">
        <v>668112</v>
      </c>
      <c r="N21" s="46" t="n">
        <v>73.80026030000001</v>
      </c>
      <c r="O21" s="46" t="n">
        <v>75.5791213</v>
      </c>
      <c r="P21" s="46" t="n">
        <v>35.8017194</v>
      </c>
      <c r="Q21" s="46" t="n">
        <v>43.9193377</v>
      </c>
      <c r="R21" s="46" t="n">
        <v>45.7906418</v>
      </c>
      <c r="S21" s="46" t="n">
        <v>50.086351</v>
      </c>
      <c r="T21" s="46" t="n">
        <v>32.9594674</v>
      </c>
      <c r="U21" s="24" t="n">
        <v>112.883306</v>
      </c>
      <c r="V21" s="24" t="n">
        <v>1.25873941</v>
      </c>
      <c r="X21" s="21">
        <f>IF(OR(ISBLANK(AA21),ISBLANK(G21)),"·",AA21*G21/F21/1000000)</f>
        <v/>
      </c>
      <c r="Y21" s="22">
        <f>IF(ISBLANK(AA21),"·",AA21/D21)</f>
        <v/>
      </c>
      <c r="Z21" s="45" t="n">
        <v>302208</v>
      </c>
      <c r="AA21" s="23" t="n">
        <v>466824</v>
      </c>
      <c r="AB21" s="46" t="n">
        <v>73.80026030000001</v>
      </c>
      <c r="AC21" s="46" t="n">
        <v>75.5791213</v>
      </c>
      <c r="AD21" s="46" t="n">
        <v>32.9284646</v>
      </c>
      <c r="AE21" s="46" t="n">
        <v>42.6563964</v>
      </c>
      <c r="AF21" s="46" t="n">
        <v>43.7826275</v>
      </c>
      <c r="AG21" s="46" t="n">
        <v>50.086351</v>
      </c>
      <c r="AH21" s="46" t="n">
        <v>31.3875041</v>
      </c>
      <c r="AI21" s="24" t="n">
        <v>102.002627</v>
      </c>
      <c r="AJ21" s="24" t="n">
        <v>1.0223294</v>
      </c>
      <c r="AL21" s="25" t="n"/>
      <c r="AM21" s="25" t="n"/>
      <c r="AN21" s="25" t="n"/>
      <c r="AO21" s="25" t="n"/>
      <c r="AP21" s="25" t="n"/>
      <c r="AQ21" s="25" t="n"/>
      <c r="AR21" s="25" t="n"/>
    </row>
    <row r="22" outlineLevel="1" s="5">
      <c r="A22" s="75" t="n"/>
      <c r="B22" s="75" t="inlineStr">
        <is>
          <t>dancer_voxelised</t>
        </is>
      </c>
      <c r="C22" s="36" t="inlineStr">
        <is>
          <t>r03</t>
        </is>
      </c>
      <c r="D22" s="75" t="n">
        <v>11812090</v>
      </c>
      <c r="E22" s="35" t="n">
        <v>12</v>
      </c>
      <c r="F22" s="36" t="n">
        <v>4</v>
      </c>
      <c r="G22" s="36" t="n">
        <v>30</v>
      </c>
      <c r="H22" s="36" t="n">
        <v>10</v>
      </c>
      <c r="J22" s="37">
        <f>IF(OR(ISBLANK(M22),ISBLANK(G22)),"·",M22*G22/F22/1000000)</f>
        <v/>
      </c>
      <c r="K22" s="38">
        <f>IF(ISBLANK(M22),"·",M22/D22)</f>
        <v/>
      </c>
      <c r="L22" s="47" t="n">
        <v>604352</v>
      </c>
      <c r="M22" s="39" t="n">
        <v>1303048</v>
      </c>
      <c r="N22" s="48" t="n">
        <v>76.7360096</v>
      </c>
      <c r="O22" s="48" t="n">
        <v>79.02122679999999</v>
      </c>
      <c r="P22" s="48" t="n">
        <v>39.1188687</v>
      </c>
      <c r="Q22" s="48" t="n">
        <v>45.2080523</v>
      </c>
      <c r="R22" s="48" t="n">
        <v>47.8383601</v>
      </c>
      <c r="S22" s="48" t="n">
        <v>51.554744</v>
      </c>
      <c r="T22" s="48" t="n">
        <v>35.7015678</v>
      </c>
      <c r="U22" s="40" t="n">
        <v>124.410613</v>
      </c>
      <c r="V22" s="40" t="n">
        <v>1.49348676</v>
      </c>
      <c r="X22" s="37">
        <f>IF(OR(ISBLANK(AA22),ISBLANK(G22)),"·",AA22*G22/F22/1000000)</f>
        <v/>
      </c>
      <c r="Y22" s="38">
        <f>IF(ISBLANK(AA22),"·",AA22/D22)</f>
        <v/>
      </c>
      <c r="Z22" s="47" t="n">
        <v>604352</v>
      </c>
      <c r="AA22" s="39" t="n">
        <v>869520</v>
      </c>
      <c r="AB22" s="48" t="n">
        <v>76.7360096</v>
      </c>
      <c r="AC22" s="48" t="n">
        <v>79.02122679999999</v>
      </c>
      <c r="AD22" s="48" t="n">
        <v>36.3854914</v>
      </c>
      <c r="AE22" s="48" t="n">
        <v>43.8860454</v>
      </c>
      <c r="AF22" s="48" t="n">
        <v>45.9825323</v>
      </c>
      <c r="AG22" s="48" t="n">
        <v>51.554744</v>
      </c>
      <c r="AH22" s="48" t="n">
        <v>34.3525104</v>
      </c>
      <c r="AI22" s="40" t="n">
        <v>101.849287</v>
      </c>
      <c r="AJ22" s="40" t="n">
        <v>1.18131661</v>
      </c>
      <c r="AL22" s="41" t="n"/>
      <c r="AM22" s="41" t="n"/>
      <c r="AN22" s="41" t="n"/>
      <c r="AO22" s="41" t="n"/>
      <c r="AP22" s="41" t="n"/>
      <c r="AQ22" s="41" t="n"/>
      <c r="AR22" s="41" t="n"/>
    </row>
    <row r="23" outlineLevel="1" s="5">
      <c r="A23" s="74" t="n"/>
      <c r="B23" s="74" t="inlineStr">
        <is>
          <t>dancer_voxelised</t>
        </is>
      </c>
      <c r="C23" s="20" t="inlineStr">
        <is>
          <t>r04</t>
        </is>
      </c>
      <c r="D23" s="74" t="n">
        <v>11812090</v>
      </c>
      <c r="E23" s="19" t="n">
        <v>12</v>
      </c>
      <c r="F23" s="20" t="n">
        <v>4</v>
      </c>
      <c r="G23" s="20" t="n">
        <v>30</v>
      </c>
      <c r="H23" s="20" t="n">
        <v>14</v>
      </c>
      <c r="J23" s="21">
        <f>IF(OR(ISBLANK(M23),ISBLANK(G23)),"·",M23*G23/F23/1000000)</f>
        <v/>
      </c>
      <c r="K23" s="22">
        <f>IF(ISBLANK(M23),"·",M23/D23)</f>
        <v/>
      </c>
      <c r="L23" s="45" t="n">
        <v>56666</v>
      </c>
      <c r="M23" s="23" t="n">
        <v>1789512</v>
      </c>
      <c r="N23" s="46" t="n">
        <v>80.2981061</v>
      </c>
      <c r="O23" s="46" t="n">
        <v>83.2478677</v>
      </c>
      <c r="P23" s="46" t="n">
        <v>39.7010266</v>
      </c>
      <c r="Q23" s="46" t="n">
        <v>45.350397</v>
      </c>
      <c r="R23" s="46" t="n">
        <v>48.0588596</v>
      </c>
      <c r="S23" s="46" t="n">
        <v>53.6871431</v>
      </c>
      <c r="T23" s="46" t="n">
        <v>37.3014263</v>
      </c>
      <c r="U23" s="24" t="n">
        <v>204.622773</v>
      </c>
      <c r="V23" s="24" t="n">
        <v>1.35040749</v>
      </c>
      <c r="X23" s="21">
        <f>IF(OR(ISBLANK(AA23),ISBLANK(G23)),"·",AA23*G23/F23/1000000)</f>
        <v/>
      </c>
      <c r="Y23" s="22">
        <f>IF(ISBLANK(AA23),"·",AA23/D23)</f>
        <v/>
      </c>
      <c r="Z23" s="45" t="n">
        <v>56666</v>
      </c>
      <c r="AA23" s="23" t="n">
        <v>1307752</v>
      </c>
      <c r="AB23" s="46" t="n">
        <v>80.2981061</v>
      </c>
      <c r="AC23" s="46" t="n">
        <v>83.2478677</v>
      </c>
      <c r="AD23" s="46" t="n">
        <v>36.7568758</v>
      </c>
      <c r="AE23" s="46" t="n">
        <v>44.1110658</v>
      </c>
      <c r="AF23" s="46" t="n">
        <v>46.2638879</v>
      </c>
      <c r="AG23" s="46" t="n">
        <v>53.6871431</v>
      </c>
      <c r="AH23" s="46" t="n">
        <v>35.4475114</v>
      </c>
      <c r="AI23" s="24" t="n">
        <v>230.089979</v>
      </c>
      <c r="AJ23" s="24" t="n">
        <v>1.14337608</v>
      </c>
      <c r="AL23" s="25" t="n"/>
      <c r="AM23" s="25" t="n"/>
      <c r="AN23" s="25" t="n"/>
      <c r="AO23" s="25" t="n"/>
      <c r="AP23" s="25" t="n"/>
      <c r="AQ23" s="25" t="n"/>
      <c r="AR23" s="25" t="n"/>
    </row>
    <row r="24" outlineLevel="1" ht="15.75" customHeight="1" s="5" thickBot="1">
      <c r="A24" s="26" t="n"/>
      <c r="B24" s="26" t="inlineStr">
        <is>
          <t>dancer_voxelised</t>
        </is>
      </c>
      <c r="C24" s="28" t="inlineStr">
        <is>
          <t>r05</t>
        </is>
      </c>
      <c r="D24" s="26" t="n">
        <v>11812090</v>
      </c>
      <c r="E24" s="27" t="n">
        <v>12</v>
      </c>
      <c r="F24" s="28" t="n">
        <v>4</v>
      </c>
      <c r="G24" s="28" t="n">
        <v>30</v>
      </c>
      <c r="H24" s="28" t="n">
        <v>21</v>
      </c>
      <c r="J24" s="29">
        <f>IF(OR(ISBLANK(M24),ISBLANK(G24)),"·",M24*G24/F24/1000000)</f>
        <v/>
      </c>
      <c r="K24" s="30">
        <f>IF(ISBLANK(M24),"·",M24/D24)</f>
        <v/>
      </c>
      <c r="L24" s="59" t="n">
        <v>75553</v>
      </c>
      <c r="M24" s="31" t="n">
        <v>2557616</v>
      </c>
      <c r="N24" s="60" t="n">
        <v>83.6946471</v>
      </c>
      <c r="O24" s="60" t="n">
        <v>87.4752763</v>
      </c>
      <c r="P24" s="60" t="n">
        <v>40.5175923</v>
      </c>
      <c r="Q24" s="60" t="n">
        <v>46.1518687</v>
      </c>
      <c r="R24" s="60" t="n">
        <v>49.1517157</v>
      </c>
      <c r="S24" s="60" t="n">
        <v>56.5161471</v>
      </c>
      <c r="T24" s="60" t="n">
        <v>39.0668688</v>
      </c>
      <c r="U24" s="32" t="n">
        <v>222.349381</v>
      </c>
      <c r="V24" s="32" t="n">
        <v>1.47593283</v>
      </c>
      <c r="X24" s="29">
        <f>IF(OR(ISBLANK(AA24),ISBLANK(G24)),"·",AA24*G24/F24/1000000)</f>
        <v/>
      </c>
      <c r="Y24" s="30">
        <f>IF(ISBLANK(AA24),"·",AA24/D24)</f>
        <v/>
      </c>
      <c r="Z24" s="59" t="n">
        <v>75553</v>
      </c>
      <c r="AA24" s="31" t="n">
        <v>1827728</v>
      </c>
      <c r="AB24" s="60" t="n">
        <v>83.6946471</v>
      </c>
      <c r="AC24" s="60" t="n">
        <v>87.4752763</v>
      </c>
      <c r="AD24" s="60" t="n">
        <v>37.7101727</v>
      </c>
      <c r="AE24" s="60" t="n">
        <v>44.8745477</v>
      </c>
      <c r="AF24" s="60" t="n">
        <v>47.4101361</v>
      </c>
      <c r="AG24" s="60" t="n">
        <v>56.5161471</v>
      </c>
      <c r="AH24" s="60" t="n">
        <v>36.9462789</v>
      </c>
      <c r="AI24" s="32" t="n">
        <v>274.274986</v>
      </c>
      <c r="AJ24" s="32" t="n">
        <v>1.06321292</v>
      </c>
      <c r="AL24" s="33" t="n"/>
      <c r="AM24" s="33" t="n"/>
      <c r="AN24" s="33" t="n"/>
      <c r="AO24" s="33" t="n"/>
      <c r="AP24" s="33" t="n"/>
      <c r="AQ24" s="33" t="n"/>
      <c r="AR24" s="33" t="n"/>
    </row>
    <row r="25">
      <c r="A25" s="74" t="inlineStr">
        <is>
          <t>cat1-C</t>
        </is>
      </c>
      <c r="B25" s="74" t="inlineStr">
        <is>
          <t>football_voxelised</t>
        </is>
      </c>
      <c r="C25" s="20" t="inlineStr">
        <is>
          <t>r01</t>
        </is>
      </c>
      <c r="D25" s="74" t="n">
        <v>12000000</v>
      </c>
      <c r="E25" s="19" t="n">
        <v>12</v>
      </c>
      <c r="F25" s="20" t="n">
        <v>4</v>
      </c>
      <c r="G25" s="20" t="n">
        <v>30</v>
      </c>
      <c r="H25" s="20" t="n">
        <v>4</v>
      </c>
      <c r="J25" s="21">
        <f>IF(OR(ISBLANK(M25),ISBLANK(G25)),"·",M25*G25/F25/1000000)</f>
        <v/>
      </c>
      <c r="K25" s="22">
        <f>IF(ISBLANK(M25),"·",M25/D25)</f>
        <v/>
      </c>
      <c r="L25" s="45" t="n">
        <v>305920</v>
      </c>
      <c r="M25" s="23" t="n">
        <v>517840</v>
      </c>
      <c r="N25" s="46" t="n">
        <v>67.2497709</v>
      </c>
      <c r="O25" s="46" t="n">
        <v>69.7453628</v>
      </c>
      <c r="P25" s="46" t="n">
        <v>30.0205464</v>
      </c>
      <c r="Q25" s="46" t="n">
        <v>40.773184</v>
      </c>
      <c r="R25" s="46" t="n">
        <v>37.51896</v>
      </c>
      <c r="S25" s="46" t="n">
        <v>43.0606027</v>
      </c>
      <c r="T25" s="46" t="n">
        <v>26.7646284</v>
      </c>
      <c r="U25" s="24" t="n">
        <v>134.525799</v>
      </c>
      <c r="V25" s="24" t="n">
        <v>1.29584812</v>
      </c>
      <c r="X25" s="21">
        <f>IF(OR(ISBLANK(AA25),ISBLANK(G25)),"·",AA25*G25/F25/1000000)</f>
        <v/>
      </c>
      <c r="Y25" s="22">
        <f>IF(ISBLANK(AA25),"·",AA25/D25)</f>
        <v/>
      </c>
      <c r="Z25" s="45" t="n">
        <v>305920</v>
      </c>
      <c r="AA25" s="23" t="n">
        <v>320616</v>
      </c>
      <c r="AB25" s="46" t="n">
        <v>67.2497709</v>
      </c>
      <c r="AC25" s="46" t="n">
        <v>69.7453628</v>
      </c>
      <c r="AD25" s="46" t="n">
        <v>28.1165932</v>
      </c>
      <c r="AE25" s="46" t="n">
        <v>38.8967273</v>
      </c>
      <c r="AF25" s="46" t="n">
        <v>34.9295053</v>
      </c>
      <c r="AG25" s="46" t="n">
        <v>43.0606027</v>
      </c>
      <c r="AH25" s="46" t="n">
        <v>26.009959</v>
      </c>
      <c r="AI25" s="24" t="n">
        <v>129.910798</v>
      </c>
      <c r="AJ25" s="24" t="n">
        <v>0.92593938</v>
      </c>
      <c r="AL25" s="25">
        <f t="array" ref="AL25">IF( OR(AND(ISBLANK(M25:M29)),AND(ISBLANK(AA25:AA29)), AND(ISBLANK(N25:N29)),AND(ISBLANK(AB25:AB29))), "·", bdRateExtend( M25:M29,N25:N29, AA25:AA29,AB25:AB29))</f>
        <v/>
      </c>
      <c r="AM25" s="25">
        <f t="array" ref="AM25">IF( OR(AND(ISBLANK(M25:M29)),AND(ISBLANK(AA25:AA29)), AND(ISBLANK(O25:O29)),AND(ISBLANK(AC25:AC29))), "·", bdRateExtend( M25:M29,O25:O29, AA25:AA29,AC25:AC29))</f>
        <v/>
      </c>
      <c r="AN25" s="25">
        <f t="array" ref="AN25">IF( OR(AND(ISBLANK(M25:M29)),AND(ISBLANK(AA25:AA29)), AND(ISBLANK(P25:P29)),AND(ISBLANK(AD25:AD29))), "·", bdRateExtend( M25:M29,P25:P29, AA25:AA29,AD25:AD29))</f>
        <v/>
      </c>
      <c r="AO25" s="25">
        <f t="array" ref="AO25">IF( OR(AND(ISBLANK(M25:M29)),AND(ISBLANK(AA25:AA29)), AND(ISBLANK(Q25:Q29)),AND(ISBLANK(AE25:AE29))), "·", bdRateExtend( M25:M29,Q25:Q29, AA25:AA29,AE25:AE29))</f>
        <v/>
      </c>
      <c r="AP25" s="25">
        <f t="array" ref="AP25">IF( OR(AND(ISBLANK(M25:M29)),AND(ISBLANK(AA25:AA29)), AND(ISBLANK(R25:R29)),AND(ISBLANK(AF25:AF29))), "·", bdRateExtend( M25:M29,R25:R29, AA25:AA29,AF25:AF29))</f>
        <v/>
      </c>
      <c r="AQ25" s="25">
        <f t="array" ref="AQ25">IF( OR(AND(ISBLANK(M25:M29)),AND(ISBLANK(AA25:AA29)), AND(ISBLANK(S25:S29)),AND(ISBLANK(AG25:AG29))), "·", bdRateExtend( M25:M29,S25:S29, AA25:AA29,AG25:AG29))</f>
        <v/>
      </c>
      <c r="AR25" s="25">
        <f t="array" ref="AR25">IF( OR(AND(ISBLANK(M25:M29)),AND(ISBLANK(AA25:AA29)), AND(ISBLANK(T25:T29)),AND(ISBLANK(AH25:AH29))), "·", bdRateExtend( M25:M29,T25:T29, AA25:AA29,AH25:AH29))</f>
        <v/>
      </c>
    </row>
    <row r="26" outlineLevel="1" s="5">
      <c r="A26" s="75" t="n"/>
      <c r="B26" s="75" t="inlineStr">
        <is>
          <t>football_voxelised</t>
        </is>
      </c>
      <c r="C26" s="36" t="inlineStr">
        <is>
          <t>r02</t>
        </is>
      </c>
      <c r="D26" s="75" t="n">
        <v>12000000</v>
      </c>
      <c r="E26" s="35" t="n">
        <v>12</v>
      </c>
      <c r="F26" s="36" t="n">
        <v>4</v>
      </c>
      <c r="G26" s="36" t="n">
        <v>30</v>
      </c>
      <c r="H26" s="36" t="n">
        <v>8</v>
      </c>
      <c r="J26" s="37">
        <f>IF(OR(ISBLANK(M26),ISBLANK(G26)),"·",M26*G26/F26/1000000)</f>
        <v/>
      </c>
      <c r="K26" s="38">
        <f>IF(ISBLANK(M26),"·",M26/D26)</f>
        <v/>
      </c>
      <c r="L26" s="47" t="n">
        <v>613696</v>
      </c>
      <c r="M26" s="39" t="n">
        <v>1028088</v>
      </c>
      <c r="N26" s="48" t="n">
        <v>72.8873533</v>
      </c>
      <c r="O26" s="48" t="n">
        <v>75.1384687</v>
      </c>
      <c r="P26" s="48" t="n">
        <v>32.8251594</v>
      </c>
      <c r="Q26" s="48" t="n">
        <v>42.3477387</v>
      </c>
      <c r="R26" s="48" t="n">
        <v>39.649727</v>
      </c>
      <c r="S26" s="48" t="n">
        <v>45.2867317</v>
      </c>
      <c r="T26" s="48" t="n">
        <v>29.5486551</v>
      </c>
      <c r="U26" s="40" t="n">
        <v>142.414147</v>
      </c>
      <c r="V26" s="40" t="n">
        <v>1.37807428</v>
      </c>
      <c r="X26" s="37">
        <f>IF(OR(ISBLANK(AA26),ISBLANK(G26)),"·",AA26*G26/F26/1000000)</f>
        <v/>
      </c>
      <c r="Y26" s="38">
        <f>IF(ISBLANK(AA26),"·",AA26/D26)</f>
        <v/>
      </c>
      <c r="Z26" s="47" t="n">
        <v>613696</v>
      </c>
      <c r="AA26" s="39" t="n">
        <v>646336</v>
      </c>
      <c r="AB26" s="48" t="n">
        <v>72.8873533</v>
      </c>
      <c r="AC26" s="48" t="n">
        <v>75.1384687</v>
      </c>
      <c r="AD26" s="48" t="n">
        <v>30.7928386</v>
      </c>
      <c r="AE26" s="48" t="n">
        <v>40.4537776</v>
      </c>
      <c r="AF26" s="48" t="n">
        <v>37.0805989</v>
      </c>
      <c r="AG26" s="48" t="n">
        <v>45.2867317</v>
      </c>
      <c r="AH26" s="48" t="n">
        <v>28.6232956</v>
      </c>
      <c r="AI26" s="40" t="n">
        <v>145.022283</v>
      </c>
      <c r="AJ26" s="40" t="n">
        <v>0.72736272</v>
      </c>
      <c r="AL26" s="41" t="n"/>
      <c r="AM26" s="41" t="n"/>
      <c r="AN26" s="41" t="n"/>
      <c r="AO26" s="41" t="n"/>
      <c r="AP26" s="41" t="n"/>
      <c r="AQ26" s="41" t="n"/>
      <c r="AR26" s="41" t="n"/>
    </row>
    <row r="27" outlineLevel="1" s="5">
      <c r="A27" s="74" t="n"/>
      <c r="B27" s="74" t="inlineStr">
        <is>
          <t>football_voxelised</t>
        </is>
      </c>
      <c r="C27" s="20" t="inlineStr">
        <is>
          <t>r03</t>
        </is>
      </c>
      <c r="D27" s="74" t="n">
        <v>12000000</v>
      </c>
      <c r="E27" s="19" t="n">
        <v>12</v>
      </c>
      <c r="F27" s="20" t="n">
        <v>4</v>
      </c>
      <c r="G27" s="20" t="n">
        <v>30</v>
      </c>
      <c r="H27" s="20" t="n">
        <v>12</v>
      </c>
      <c r="J27" s="21">
        <f>IF(OR(ISBLANK(M27),ISBLANK(G27)),"·",M27*G27/F27/1000000)</f>
        <v/>
      </c>
      <c r="K27" s="22">
        <f>IF(ISBLANK(M27),"·",M27/D27)</f>
        <v/>
      </c>
      <c r="L27" s="45" t="n">
        <v>306976</v>
      </c>
      <c r="M27" s="23" t="n">
        <v>1540328</v>
      </c>
      <c r="N27" s="46" t="n">
        <v>77.00436000000001</v>
      </c>
      <c r="O27" s="46" t="n">
        <v>80.7689037</v>
      </c>
      <c r="P27" s="46" t="n">
        <v>33.9737276</v>
      </c>
      <c r="Q27" s="46" t="n">
        <v>43.2223591</v>
      </c>
      <c r="R27" s="46" t="n">
        <v>40.9832125</v>
      </c>
      <c r="S27" s="46" t="n">
        <v>47.7143998</v>
      </c>
      <c r="T27" s="46" t="n">
        <v>31.8793157</v>
      </c>
      <c r="U27" s="24" t="n">
        <v>436.57609</v>
      </c>
      <c r="V27" s="24" t="n">
        <v>5.47464904</v>
      </c>
      <c r="X27" s="21">
        <f>IF(OR(ISBLANK(AA27),ISBLANK(G27)),"·",AA27*G27/F27/1000000)</f>
        <v/>
      </c>
      <c r="Y27" s="22">
        <f>IF(ISBLANK(AA27),"·",AA27/D27)</f>
        <v/>
      </c>
      <c r="Z27" s="45" t="n">
        <v>306976</v>
      </c>
      <c r="AA27" s="23" t="n">
        <v>727624</v>
      </c>
      <c r="AB27" s="46" t="n">
        <v>77.00436000000001</v>
      </c>
      <c r="AC27" s="46" t="n">
        <v>80.7689037</v>
      </c>
      <c r="AD27" s="46" t="n">
        <v>29.7289389</v>
      </c>
      <c r="AE27" s="46" t="n">
        <v>39.7209398</v>
      </c>
      <c r="AF27" s="46" t="n">
        <v>36.0295523</v>
      </c>
      <c r="AG27" s="46" t="n">
        <v>47.7143998</v>
      </c>
      <c r="AH27" s="46" t="n">
        <v>28.8897166</v>
      </c>
      <c r="AI27" s="24" t="n">
        <v>148.615887</v>
      </c>
      <c r="AJ27" s="24" t="n">
        <v>1.13004209</v>
      </c>
      <c r="AL27" s="25" t="n"/>
      <c r="AM27" s="25" t="n"/>
      <c r="AN27" s="25" t="n"/>
      <c r="AO27" s="25" t="n"/>
      <c r="AP27" s="25" t="n"/>
      <c r="AQ27" s="25" t="n"/>
      <c r="AR27" s="25" t="n"/>
    </row>
    <row r="28" outlineLevel="1" s="5">
      <c r="A28" s="75" t="n"/>
      <c r="B28" s="75" t="inlineStr">
        <is>
          <t>football_voxelised</t>
        </is>
      </c>
      <c r="C28" s="36" t="inlineStr">
        <is>
          <t>r04</t>
        </is>
      </c>
      <c r="D28" s="75" t="n">
        <v>12000000</v>
      </c>
      <c r="E28" s="35" t="n">
        <v>12</v>
      </c>
      <c r="F28" s="36" t="n">
        <v>4</v>
      </c>
      <c r="G28" s="36" t="n">
        <v>30</v>
      </c>
      <c r="H28" s="36" t="n">
        <v>17</v>
      </c>
      <c r="J28" s="37">
        <f>IF(OR(ISBLANK(M28),ISBLANK(G28)),"·",M28*G28/F28/1000000)</f>
        <v/>
      </c>
      <c r="K28" s="38">
        <f>IF(ISBLANK(M28),"·",M28/D28)</f>
        <v/>
      </c>
      <c r="L28" s="47" t="n">
        <v>76797</v>
      </c>
      <c r="M28" s="39" t="n">
        <v>2120944</v>
      </c>
      <c r="N28" s="48" t="n">
        <v>82.405143</v>
      </c>
      <c r="O28" s="48" t="n">
        <v>86.5067107</v>
      </c>
      <c r="P28" s="48" t="n">
        <v>34.4235242</v>
      </c>
      <c r="Q28" s="48" t="n">
        <v>43.2128216</v>
      </c>
      <c r="R28" s="48" t="n">
        <v>41.0611623</v>
      </c>
      <c r="S28" s="48" t="n">
        <v>51.5076217</v>
      </c>
      <c r="T28" s="48" t="n">
        <v>33.4856827</v>
      </c>
      <c r="U28" s="40" t="n">
        <v>567.179369</v>
      </c>
      <c r="V28" s="40" t="n">
        <v>5.22371154</v>
      </c>
      <c r="X28" s="37">
        <f>IF(OR(ISBLANK(AA28),ISBLANK(G28)),"·",AA28*G28/F28/1000000)</f>
        <v/>
      </c>
      <c r="Y28" s="38">
        <f>IF(ISBLANK(AA28),"·",AA28/D28)</f>
        <v/>
      </c>
      <c r="Z28" s="47" t="n">
        <v>76797</v>
      </c>
      <c r="AA28" s="39" t="n">
        <v>1293808</v>
      </c>
      <c r="AB28" s="48" t="n">
        <v>82.405143</v>
      </c>
      <c r="AC28" s="48" t="n">
        <v>86.5067107</v>
      </c>
      <c r="AD28" s="48" t="n">
        <v>29.9892565</v>
      </c>
      <c r="AE28" s="48" t="n">
        <v>39.7133161</v>
      </c>
      <c r="AF28" s="48" t="n">
        <v>36.031508</v>
      </c>
      <c r="AG28" s="48" t="n">
        <v>51.5076217</v>
      </c>
      <c r="AH28" s="48" t="n">
        <v>29.5969636</v>
      </c>
      <c r="AI28" s="40" t="n">
        <v>325.723959</v>
      </c>
      <c r="AJ28" s="40" t="n">
        <v>1.19088834</v>
      </c>
      <c r="AL28" s="41" t="n"/>
      <c r="AM28" s="41" t="n"/>
      <c r="AN28" s="41" t="n"/>
      <c r="AO28" s="41" t="n"/>
      <c r="AP28" s="41" t="n"/>
      <c r="AQ28" s="41" t="n"/>
      <c r="AR28" s="41" t="n"/>
    </row>
    <row r="29" outlineLevel="1" ht="15.75" customHeight="1" s="5" thickBot="1">
      <c r="A29" s="74" t="n"/>
      <c r="B29" s="49" t="inlineStr">
        <is>
          <t>football_voxelised</t>
        </is>
      </c>
      <c r="C29" s="50" t="inlineStr">
        <is>
          <t>r05</t>
        </is>
      </c>
      <c r="D29" s="49" t="n">
        <v>12000000</v>
      </c>
      <c r="E29" s="51" t="n">
        <v>12</v>
      </c>
      <c r="F29" s="50" t="n">
        <v>4</v>
      </c>
      <c r="G29" s="50" t="n">
        <v>30</v>
      </c>
      <c r="H29" s="50" t="n">
        <v>25</v>
      </c>
      <c r="J29" s="52">
        <f>IF(OR(ISBLANK(M29),ISBLANK(G29)),"·",M29*G29/F29/1000000)</f>
        <v/>
      </c>
      <c r="K29" s="53">
        <f>IF(ISBLANK(M29),"·",M29/D29)</f>
        <v/>
      </c>
      <c r="L29" s="54" t="n"/>
      <c r="M29" s="55" t="n"/>
      <c r="N29" s="56" t="n"/>
      <c r="O29" s="56" t="n"/>
      <c r="P29" s="56" t="n"/>
      <c r="Q29" s="56" t="n"/>
      <c r="R29" s="56" t="n"/>
      <c r="S29" s="56" t="n"/>
      <c r="T29" s="56" t="n"/>
      <c r="U29" s="57" t="n"/>
      <c r="V29" s="57" t="n"/>
      <c r="X29" s="52">
        <f>IF(OR(ISBLANK(AA29),ISBLANK(G29)),"·",AA29*G29/F29/1000000)</f>
        <v/>
      </c>
      <c r="Y29" s="53">
        <f>IF(ISBLANK(AA29),"·",AA29/D29)</f>
        <v/>
      </c>
      <c r="Z29" s="54" t="n">
        <v>115198</v>
      </c>
      <c r="AA29" s="55" t="n">
        <v>1878472</v>
      </c>
      <c r="AB29" s="56" t="n">
        <v>86.2738019</v>
      </c>
      <c r="AC29" s="56" t="n">
        <v>91.6741052</v>
      </c>
      <c r="AD29" s="56" t="n">
        <v>31.3509016</v>
      </c>
      <c r="AE29" s="56" t="n">
        <v>40.4468954</v>
      </c>
      <c r="AF29" s="56" t="n">
        <v>36.9616011</v>
      </c>
      <c r="AG29" s="56" t="n">
        <v>56.24233</v>
      </c>
      <c r="AH29" s="56" t="n">
        <v>31.0950358</v>
      </c>
      <c r="AI29" s="57" t="n">
        <v>471.442355</v>
      </c>
      <c r="AJ29" s="57" t="n">
        <v>1.01233078</v>
      </c>
      <c r="AL29" s="58" t="n"/>
      <c r="AM29" s="58" t="n"/>
      <c r="AN29" s="58" t="n"/>
      <c r="AO29" s="58" t="n"/>
      <c r="AP29" s="58" t="n"/>
      <c r="AQ29" s="58" t="n"/>
      <c r="AR29" s="58" t="n"/>
    </row>
    <row r="30">
      <c r="A30" s="75" t="n"/>
      <c r="B30" s="75" t="inlineStr">
        <is>
          <t>levi_voxelised</t>
        </is>
      </c>
      <c r="C30" s="36" t="inlineStr">
        <is>
          <t>r01</t>
        </is>
      </c>
      <c r="D30" s="75" t="n">
        <v>5997654</v>
      </c>
      <c r="E30" s="35" t="n">
        <v>12</v>
      </c>
      <c r="F30" s="36" t="n">
        <v>4</v>
      </c>
      <c r="G30" s="36" t="n">
        <v>30</v>
      </c>
      <c r="H30" s="36" t="n">
        <v>4</v>
      </c>
      <c r="J30" s="37">
        <f>IF(OR(ISBLANK(M30),ISBLANK(G30)),"·",M30*G30/F30/1000000)</f>
        <v/>
      </c>
      <c r="K30" s="38">
        <f>IF(ISBLANK(M30),"·",M30/D30)</f>
        <v/>
      </c>
      <c r="L30" s="47" t="n">
        <v>302080</v>
      </c>
      <c r="M30" s="39" t="n">
        <v>484360</v>
      </c>
      <c r="N30" s="48" t="n">
        <v>68.62050429999999</v>
      </c>
      <c r="O30" s="48" t="n">
        <v>69.7088935</v>
      </c>
      <c r="P30" s="48" t="n">
        <v>36.4128843</v>
      </c>
      <c r="Q30" s="48" t="n">
        <v>43.766128</v>
      </c>
      <c r="R30" s="48" t="n">
        <v>42.2091188</v>
      </c>
      <c r="S30" s="48" t="n">
        <v>44.8341963</v>
      </c>
      <c r="T30" s="48" t="n">
        <v>32.3280603</v>
      </c>
      <c r="U30" s="40" t="n">
        <v>132.491109</v>
      </c>
      <c r="V30" s="40" t="n">
        <v>1.33532839</v>
      </c>
      <c r="X30" s="37">
        <f>IF(OR(ISBLANK(AA30),ISBLANK(G30)),"·",AA30*G30/F30/1000000)</f>
        <v/>
      </c>
      <c r="Y30" s="38">
        <f>IF(ISBLANK(AA30),"·",AA30/D30)</f>
        <v/>
      </c>
      <c r="Z30" s="47" t="n">
        <v>302080</v>
      </c>
      <c r="AA30" s="39" t="n">
        <v>302528</v>
      </c>
      <c r="AB30" s="48" t="n">
        <v>68.62050429999999</v>
      </c>
      <c r="AC30" s="48" t="n">
        <v>69.7088935</v>
      </c>
      <c r="AD30" s="48" t="n">
        <v>34.4669832</v>
      </c>
      <c r="AE30" s="48" t="n">
        <v>42.1188191</v>
      </c>
      <c r="AF30" s="48" t="n">
        <v>40.159046</v>
      </c>
      <c r="AG30" s="48" t="n">
        <v>44.8341963</v>
      </c>
      <c r="AH30" s="48" t="n">
        <v>31.6543732</v>
      </c>
      <c r="AI30" s="40" t="n">
        <v>111.7182</v>
      </c>
      <c r="AJ30" s="40" t="n">
        <v>0.962137508</v>
      </c>
      <c r="AL30" s="41">
        <f t="array" ref="AL30">IF( OR(AND(ISBLANK(M30:M34)),AND(ISBLANK(AA30:AA34)), AND(ISBLANK(N30:N34)),AND(ISBLANK(AB30:AB34))), "·", bdRateExtend( M30:M34,N30:N34, AA30:AA34,AB30:AB34))</f>
        <v/>
      </c>
      <c r="AM30" s="41">
        <f t="array" ref="AM30">IF( OR(AND(ISBLANK(M30:M34)),AND(ISBLANK(AA30:AA34)), AND(ISBLANK(O30:O34)),AND(ISBLANK(AC30:AC34))), "·", bdRateExtend( M30:M34,O30:O34, AA30:AA34,AC30:AC34))</f>
        <v/>
      </c>
      <c r="AN30" s="41">
        <f t="array" ref="AN30">IF( OR(AND(ISBLANK(M30:M34)),AND(ISBLANK(AA30:AA34)), AND(ISBLANK(P30:P34)),AND(ISBLANK(AD30:AD34))), "·", bdRateExtend( M30:M34,P30:P34, AA30:AA34,AD30:AD34))</f>
        <v/>
      </c>
      <c r="AO30" s="41">
        <f t="array" ref="AO30">IF( OR(AND(ISBLANK(M30:M34)),AND(ISBLANK(AA30:AA34)), AND(ISBLANK(Q30:Q34)),AND(ISBLANK(AE30:AE34))), "·", bdRateExtend( M30:M34,Q30:Q34, AA30:AA34,AE30:AE34))</f>
        <v/>
      </c>
      <c r="AP30" s="41">
        <f t="array" ref="AP30">IF( OR(AND(ISBLANK(M30:M34)),AND(ISBLANK(AA30:AA34)), AND(ISBLANK(R30:R34)),AND(ISBLANK(AF30:AF34))), "·", bdRateExtend( M30:M34,R30:R34, AA30:AA34,AF30:AF34))</f>
        <v/>
      </c>
      <c r="AQ30" s="41">
        <f t="array" ref="AQ30">IF( OR(AND(ISBLANK(M30:M34)),AND(ISBLANK(AA30:AA34)), AND(ISBLANK(S30:S34)),AND(ISBLANK(AG30:AG34))), "·", bdRateExtend( M30:M34,S30:S34, AA30:AA34,AG30:AG34))</f>
        <v/>
      </c>
      <c r="AR30" s="41">
        <f t="array" ref="AR30">IF( OR(AND(ISBLANK(M30:M34)),AND(ISBLANK(AA30:AA34)), AND(ISBLANK(T30:T34)),AND(ISBLANK(AH30:AH34))), "·", bdRateExtend( M30:M34,T30:T34, AA30:AA34,AH30:AH34))</f>
        <v/>
      </c>
    </row>
    <row r="31" outlineLevel="1" s="5">
      <c r="A31" s="74" t="n"/>
      <c r="B31" s="74" t="inlineStr">
        <is>
          <t>levi_voxelised</t>
        </is>
      </c>
      <c r="C31" s="20" t="inlineStr">
        <is>
          <t>r02</t>
        </is>
      </c>
      <c r="D31" s="74" t="n">
        <v>5997654</v>
      </c>
      <c r="E31" s="19" t="n">
        <v>12</v>
      </c>
      <c r="F31" s="20" t="n">
        <v>4</v>
      </c>
      <c r="G31" s="20" t="n">
        <v>30</v>
      </c>
      <c r="H31" s="20" t="n">
        <v>8</v>
      </c>
      <c r="J31" s="21">
        <f>IF(OR(ISBLANK(M31),ISBLANK(G31)),"·",M31*G31/F31/1000000)</f>
        <v/>
      </c>
      <c r="K31" s="22">
        <f>IF(ISBLANK(M31),"·",M31/D31)</f>
        <v/>
      </c>
      <c r="L31" s="45" t="n">
        <v>305824</v>
      </c>
      <c r="M31" s="23" t="n">
        <v>970688</v>
      </c>
      <c r="N31" s="46" t="n">
        <v>75.177331</v>
      </c>
      <c r="O31" s="46" t="n">
        <v>77.0657556</v>
      </c>
      <c r="P31" s="46" t="n">
        <v>38.8235141</v>
      </c>
      <c r="Q31" s="46" t="n">
        <v>44.9596378</v>
      </c>
      <c r="R31" s="46" t="n">
        <v>43.8593805</v>
      </c>
      <c r="S31" s="46" t="n">
        <v>48.5717</v>
      </c>
      <c r="T31" s="46" t="n">
        <v>35.7632662</v>
      </c>
      <c r="U31" s="24" t="n">
        <v>419.948299</v>
      </c>
      <c r="V31" s="24" t="n">
        <v>5.12580559</v>
      </c>
      <c r="X31" s="21">
        <f>IF(OR(ISBLANK(AA31),ISBLANK(G31)),"·",AA31*G31/F31/1000000)</f>
        <v/>
      </c>
      <c r="Y31" s="22">
        <f>IF(ISBLANK(AA31),"·",AA31/D31)</f>
        <v/>
      </c>
      <c r="Z31" s="45" t="n">
        <v>305824</v>
      </c>
      <c r="AA31" s="23" t="n">
        <v>478112</v>
      </c>
      <c r="AB31" s="46" t="n">
        <v>75.177331</v>
      </c>
      <c r="AC31" s="46" t="n">
        <v>77.0657556</v>
      </c>
      <c r="AD31" s="46" t="n">
        <v>34.2723477</v>
      </c>
      <c r="AE31" s="46" t="n">
        <v>41.6707003</v>
      </c>
      <c r="AF31" s="46" t="n">
        <v>39.7616923</v>
      </c>
      <c r="AG31" s="46" t="n">
        <v>48.5717</v>
      </c>
      <c r="AH31" s="46" t="n">
        <v>33.1285629</v>
      </c>
      <c r="AI31" s="24" t="n">
        <v>151.142112</v>
      </c>
      <c r="AJ31" s="24" t="n">
        <v>0.752345692</v>
      </c>
      <c r="AL31" s="25" t="n"/>
      <c r="AM31" s="25" t="n"/>
      <c r="AN31" s="25" t="n"/>
      <c r="AO31" s="25" t="n"/>
      <c r="AP31" s="25" t="n"/>
      <c r="AQ31" s="25" t="n"/>
      <c r="AR31" s="25" t="n"/>
    </row>
    <row r="32" outlineLevel="1" s="5">
      <c r="A32" s="75" t="n"/>
      <c r="B32" s="75" t="inlineStr">
        <is>
          <t>levi_voxelised</t>
        </is>
      </c>
      <c r="C32" s="36" t="inlineStr">
        <is>
          <t>r03</t>
        </is>
      </c>
      <c r="D32" s="75" t="n">
        <v>5997654</v>
      </c>
      <c r="E32" s="35" t="n">
        <v>12</v>
      </c>
      <c r="F32" s="36" t="n">
        <v>4</v>
      </c>
      <c r="G32" s="36" t="n">
        <v>30</v>
      </c>
      <c r="H32" s="36" t="n">
        <v>12</v>
      </c>
      <c r="J32" s="37">
        <f>IF(OR(ISBLANK(M32),ISBLANK(G32)),"·",M32*G32/F32/1000000)</f>
        <v/>
      </c>
      <c r="K32" s="38">
        <f>IF(ISBLANK(M32),"·",M32/D32)</f>
        <v/>
      </c>
      <c r="L32" s="47" t="n">
        <v>305824</v>
      </c>
      <c r="M32" s="39" t="n">
        <v>1469280</v>
      </c>
      <c r="N32" s="48" t="n">
        <v>76.6074299</v>
      </c>
      <c r="O32" s="48" t="n">
        <v>78.749022</v>
      </c>
      <c r="P32" s="48" t="n">
        <v>40.3488957</v>
      </c>
      <c r="Q32" s="48" t="n">
        <v>46.1271443</v>
      </c>
      <c r="R32" s="48" t="n">
        <v>45.0886669</v>
      </c>
      <c r="S32" s="48" t="n">
        <v>49.5505395</v>
      </c>
      <c r="T32" s="48" t="n">
        <v>37.0564956</v>
      </c>
      <c r="U32" s="40" t="n">
        <v>444.559288</v>
      </c>
      <c r="V32" s="40" t="n">
        <v>5.25811434</v>
      </c>
      <c r="X32" s="37">
        <f>IF(OR(ISBLANK(AA32),ISBLANK(G32)),"·",AA32*G32/F32/1000000)</f>
        <v/>
      </c>
      <c r="Y32" s="38">
        <f>IF(ISBLANK(AA32),"·",AA32/D32)</f>
        <v/>
      </c>
      <c r="Z32" s="47" t="n">
        <v>305824</v>
      </c>
      <c r="AA32" s="39" t="n">
        <v>625984</v>
      </c>
      <c r="AB32" s="48" t="n">
        <v>76.6074299</v>
      </c>
      <c r="AC32" s="48" t="n">
        <v>78.749022</v>
      </c>
      <c r="AD32" s="48" t="n">
        <v>35.8854291</v>
      </c>
      <c r="AE32" s="48" t="n">
        <v>42.6569067</v>
      </c>
      <c r="AF32" s="48" t="n">
        <v>40.899547</v>
      </c>
      <c r="AG32" s="48" t="n">
        <v>49.5505395</v>
      </c>
      <c r="AH32" s="48" t="n">
        <v>34.576111</v>
      </c>
      <c r="AI32" s="40" t="n">
        <v>159.556518</v>
      </c>
      <c r="AJ32" s="40" t="n">
        <v>0.986613793</v>
      </c>
      <c r="AL32" s="41" t="n"/>
      <c r="AM32" s="41" t="n"/>
      <c r="AN32" s="41" t="n"/>
      <c r="AO32" s="41" t="n"/>
      <c r="AP32" s="41" t="n"/>
      <c r="AQ32" s="41" t="n"/>
      <c r="AR32" s="41" t="n"/>
    </row>
    <row r="33" outlineLevel="1" s="5">
      <c r="A33" s="74" t="n"/>
      <c r="B33" s="74" t="inlineStr">
        <is>
          <t>levi_voxelised</t>
        </is>
      </c>
      <c r="C33" s="20" t="inlineStr">
        <is>
          <t>r04</t>
        </is>
      </c>
      <c r="D33" s="74" t="n">
        <v>5997654</v>
      </c>
      <c r="E33" s="19" t="n">
        <v>12</v>
      </c>
      <c r="F33" s="20" t="n">
        <v>4</v>
      </c>
      <c r="G33" s="20" t="n">
        <v>30</v>
      </c>
      <c r="H33" s="20" t="n">
        <v>17</v>
      </c>
      <c r="J33" s="21">
        <f>IF(OR(ISBLANK(M33),ISBLANK(G33)),"·",M33*G33/F33/1000000)</f>
        <v/>
      </c>
      <c r="K33" s="22">
        <f>IF(ISBLANK(M33),"·",M33/D33)</f>
        <v/>
      </c>
      <c r="L33" s="45" t="n">
        <v>38314</v>
      </c>
      <c r="M33" s="23" t="n">
        <v>2120608</v>
      </c>
      <c r="N33" s="46" t="n">
        <v>78.5384956</v>
      </c>
      <c r="O33" s="46" t="n">
        <v>81.01900310000001</v>
      </c>
      <c r="P33" s="46" t="n">
        <v>41.470295</v>
      </c>
      <c r="Q33" s="46" t="n">
        <v>46.931505</v>
      </c>
      <c r="R33" s="46" t="n">
        <v>46.0518262</v>
      </c>
      <c r="S33" s="46" t="n">
        <v>50.5662661</v>
      </c>
      <c r="T33" s="46" t="n">
        <v>38.2764345</v>
      </c>
      <c r="U33" s="24" t="n">
        <v>453.175106</v>
      </c>
      <c r="V33" s="24" t="n">
        <v>5.5689522</v>
      </c>
      <c r="X33" s="21">
        <f>IF(OR(ISBLANK(AA33),ISBLANK(G33)),"·",AA33*G33/F33/1000000)</f>
        <v/>
      </c>
      <c r="Y33" s="22">
        <f>IF(ISBLANK(AA33),"·",AA33/D33)</f>
        <v/>
      </c>
      <c r="Z33" s="45" t="n">
        <v>38314</v>
      </c>
      <c r="AA33" s="23" t="n">
        <v>931312</v>
      </c>
      <c r="AB33" s="46" t="n">
        <v>78.5384956</v>
      </c>
      <c r="AC33" s="46" t="n">
        <v>81.01900310000001</v>
      </c>
      <c r="AD33" s="46" t="n">
        <v>36.9969655</v>
      </c>
      <c r="AE33" s="46" t="n">
        <v>43.4403115</v>
      </c>
      <c r="AF33" s="46" t="n">
        <v>41.831787</v>
      </c>
      <c r="AG33" s="46" t="n">
        <v>50.5662661</v>
      </c>
      <c r="AH33" s="46" t="n">
        <v>35.7318957</v>
      </c>
      <c r="AI33" s="24" t="n">
        <v>196.416575</v>
      </c>
      <c r="AJ33" s="24" t="n">
        <v>0.915552049</v>
      </c>
      <c r="AL33" s="25" t="n"/>
      <c r="AM33" s="25" t="n"/>
      <c r="AN33" s="25" t="n"/>
      <c r="AO33" s="25" t="n"/>
      <c r="AP33" s="25" t="n"/>
      <c r="AQ33" s="25" t="n"/>
      <c r="AR33" s="25" t="n"/>
    </row>
    <row r="34" outlineLevel="1" ht="15.75" customHeight="1" s="5" thickBot="1">
      <c r="A34" s="75" t="n"/>
      <c r="B34" s="26" t="inlineStr">
        <is>
          <t>levi_voxelised</t>
        </is>
      </c>
      <c r="C34" s="28" t="inlineStr">
        <is>
          <t>r05</t>
        </is>
      </c>
      <c r="D34" s="26" t="n">
        <v>5997654</v>
      </c>
      <c r="E34" s="27" t="n">
        <v>12</v>
      </c>
      <c r="F34" s="28" t="n">
        <v>4</v>
      </c>
      <c r="G34" s="28" t="n">
        <v>30</v>
      </c>
      <c r="H34" s="28" t="n">
        <v>25</v>
      </c>
      <c r="J34" s="29">
        <f>IF(OR(ISBLANK(M34),ISBLANK(G34)),"·",M34*G34/F34/1000000)</f>
        <v/>
      </c>
      <c r="K34" s="30">
        <f>IF(ISBLANK(M34),"·",M34/D34)</f>
        <v/>
      </c>
      <c r="L34" s="59" t="n">
        <v>76725</v>
      </c>
      <c r="M34" s="31" t="n">
        <v>2954664</v>
      </c>
      <c r="N34" s="60" t="n">
        <v>83.16571690000001</v>
      </c>
      <c r="O34" s="60" t="n">
        <v>87.0688234</v>
      </c>
      <c r="P34" s="60" t="n">
        <v>42.2424264</v>
      </c>
      <c r="Q34" s="60" t="n">
        <v>47.6357881</v>
      </c>
      <c r="R34" s="60" t="n">
        <v>46.830174</v>
      </c>
      <c r="S34" s="60" t="n">
        <v>54.0578204</v>
      </c>
      <c r="T34" s="60" t="n">
        <v>40.7946097</v>
      </c>
      <c r="U34" s="32" t="n">
        <v>500.404612</v>
      </c>
      <c r="V34" s="32" t="n">
        <v>5.4831515</v>
      </c>
      <c r="X34" s="29">
        <f>IF(OR(ISBLANK(AA34),ISBLANK(G34)),"·",AA34*G34/F34/1000000)</f>
        <v/>
      </c>
      <c r="Y34" s="30">
        <f>IF(ISBLANK(AA34),"·",AA34/D34)</f>
        <v/>
      </c>
      <c r="Z34" s="59" t="n">
        <v>76725</v>
      </c>
      <c r="AA34" s="31" t="n">
        <v>1459072</v>
      </c>
      <c r="AB34" s="60" t="n">
        <v>83.16571690000001</v>
      </c>
      <c r="AC34" s="60" t="n">
        <v>87.0688234</v>
      </c>
      <c r="AD34" s="60" t="n">
        <v>37.4432539</v>
      </c>
      <c r="AE34" s="60" t="n">
        <v>44.0388621</v>
      </c>
      <c r="AF34" s="60" t="n">
        <v>42.5074543</v>
      </c>
      <c r="AG34" s="60" t="n">
        <v>54.0578204</v>
      </c>
      <c r="AH34" s="60" t="n">
        <v>36.9798654</v>
      </c>
      <c r="AI34" s="32" t="n">
        <v>286.273839</v>
      </c>
      <c r="AJ34" s="32" t="n">
        <v>1.06817193</v>
      </c>
      <c r="AL34" s="33" t="n"/>
      <c r="AM34" s="33" t="n"/>
      <c r="AN34" s="33" t="n"/>
      <c r="AO34" s="33" t="n"/>
      <c r="AP34" s="33" t="n"/>
      <c r="AQ34" s="33" t="n"/>
      <c r="AR34" s="33" t="n"/>
    </row>
    <row r="35">
      <c r="A35" s="74" t="n"/>
      <c r="B35" s="74" t="inlineStr">
        <is>
          <t>mitch_voxelised</t>
        </is>
      </c>
      <c r="C35" s="20" t="inlineStr">
        <is>
          <t>r01</t>
        </is>
      </c>
      <c r="D35" s="74" t="n">
        <v>9000000</v>
      </c>
      <c r="E35" s="19" t="n">
        <v>12</v>
      </c>
      <c r="F35" s="20" t="n">
        <v>4</v>
      </c>
      <c r="G35" s="20" t="n">
        <v>30</v>
      </c>
      <c r="H35" s="20" t="n">
        <v>4</v>
      </c>
      <c r="J35" s="21">
        <f>IF(OR(ISBLANK(M35),ISBLANK(G35)),"·",M35*G35/F35/1000000)</f>
        <v/>
      </c>
      <c r="K35" s="22">
        <f>IF(ISBLANK(M35),"·",M35/D35)</f>
        <v/>
      </c>
      <c r="L35" s="45" t="n">
        <v>230272</v>
      </c>
      <c r="M35" s="23" t="n">
        <v>512352</v>
      </c>
      <c r="N35" s="46" t="n">
        <v>70.8513135</v>
      </c>
      <c r="O35" s="46" t="n">
        <v>72.3681059</v>
      </c>
      <c r="P35" s="46" t="n">
        <v>28.9763692</v>
      </c>
      <c r="Q35" s="46" t="n">
        <v>38.3887623</v>
      </c>
      <c r="R35" s="46" t="n">
        <v>38.3002014</v>
      </c>
      <c r="S35" s="46" t="n">
        <v>47.7093163</v>
      </c>
      <c r="T35" s="46" t="n">
        <v>28.1552797</v>
      </c>
      <c r="U35" s="24" t="n">
        <v>116.188998</v>
      </c>
      <c r="V35" s="24" t="n">
        <v>1.24977652</v>
      </c>
      <c r="X35" s="21">
        <f>IF(OR(ISBLANK(AA35),ISBLANK(G35)),"·",AA35*G35/F35/1000000)</f>
        <v/>
      </c>
      <c r="Y35" s="22">
        <f>IF(ISBLANK(AA35),"·",AA35/D35)</f>
        <v/>
      </c>
      <c r="Z35" s="45" t="n">
        <v>230272</v>
      </c>
      <c r="AA35" s="23" t="n">
        <v>329984</v>
      </c>
      <c r="AB35" s="46" t="n">
        <v>70.8513135</v>
      </c>
      <c r="AC35" s="46" t="n">
        <v>72.3681059</v>
      </c>
      <c r="AD35" s="46" t="n">
        <v>27.8899454</v>
      </c>
      <c r="AE35" s="46" t="n">
        <v>37.99863</v>
      </c>
      <c r="AF35" s="46" t="n">
        <v>37.5894836</v>
      </c>
      <c r="AG35" s="46" t="n">
        <v>47.7093163</v>
      </c>
      <c r="AH35" s="46" t="n">
        <v>27.4116328</v>
      </c>
      <c r="AI35" s="24" t="n">
        <v>110.900837</v>
      </c>
      <c r="AJ35" s="24" t="n">
        <v>1.03021243</v>
      </c>
      <c r="AL35" s="25">
        <f t="array" ref="AL35">IF( OR(AND(ISBLANK(M35:M39)),AND(ISBLANK(AA35:AA39)), AND(ISBLANK(N35:N39)),AND(ISBLANK(AB35:AB39))), "·", bdRateExtend( M35:M39,N35:N39, AA35:AA39,AB35:AB39))</f>
        <v/>
      </c>
      <c r="AM35" s="25">
        <f t="array" ref="AM35">IF( OR(AND(ISBLANK(M35:M39)),AND(ISBLANK(AA35:AA39)), AND(ISBLANK(O35:O39)),AND(ISBLANK(AC35:AC39))), "·", bdRateExtend( M35:M39,O35:O39, AA35:AA39,AC35:AC39))</f>
        <v/>
      </c>
      <c r="AN35" s="25">
        <f t="array" ref="AN35">IF( OR(AND(ISBLANK(M35:M39)),AND(ISBLANK(AA35:AA39)), AND(ISBLANK(P35:P39)),AND(ISBLANK(AD35:AD39))), "·", bdRateExtend( M35:M39,P35:P39, AA35:AA39,AD35:AD39))</f>
        <v/>
      </c>
      <c r="AO35" s="25">
        <f t="array" ref="AO35">IF( OR(AND(ISBLANK(M35:M39)),AND(ISBLANK(AA35:AA39)), AND(ISBLANK(Q35:Q39)),AND(ISBLANK(AE35:AE39))), "·", bdRateExtend( M35:M39,Q35:Q39, AA35:AA39,AE35:AE39))</f>
        <v/>
      </c>
      <c r="AP35" s="25">
        <f t="array" ref="AP35">IF( OR(AND(ISBLANK(M35:M39)),AND(ISBLANK(AA35:AA39)), AND(ISBLANK(R35:R39)),AND(ISBLANK(AF35:AF39))), "·", bdRateExtend( M35:M39,R35:R39, AA35:AA39,AF35:AF39))</f>
        <v/>
      </c>
      <c r="AQ35" s="25">
        <f t="array" ref="AQ35">IF( OR(AND(ISBLANK(M35:M39)),AND(ISBLANK(AA35:AA39)), AND(ISBLANK(S35:S39)),AND(ISBLANK(AG35:AG39))), "·", bdRateExtend( M35:M39,S35:S39, AA35:AA39,AG35:AG39))</f>
        <v/>
      </c>
      <c r="AR35" s="25">
        <f t="array" ref="AR35">IF( OR(AND(ISBLANK(M35:M39)),AND(ISBLANK(AA35:AA39)), AND(ISBLANK(T35:T39)),AND(ISBLANK(AH35:AH39))), "·", bdRateExtend( M35:M39,T35:T39, AA35:AA39,AH35:AH39))</f>
        <v/>
      </c>
    </row>
    <row r="36" outlineLevel="1" s="5">
      <c r="A36" s="75" t="n"/>
      <c r="B36" s="75" t="inlineStr">
        <is>
          <t>mitch_voxelised</t>
        </is>
      </c>
      <c r="C36" s="36" t="inlineStr">
        <is>
          <t>r02</t>
        </is>
      </c>
      <c r="D36" s="75" t="n">
        <v>9000000</v>
      </c>
      <c r="E36" s="35" t="n">
        <v>12</v>
      </c>
      <c r="F36" s="36" t="n">
        <v>4</v>
      </c>
      <c r="G36" s="36" t="n">
        <v>30</v>
      </c>
      <c r="H36" s="36" t="n">
        <v>6</v>
      </c>
      <c r="J36" s="37">
        <f>IF(OR(ISBLANK(M36),ISBLANK(G36)),"·",M36*G36/F36/1000000)</f>
        <v/>
      </c>
      <c r="K36" s="38">
        <f>IF(ISBLANK(M36),"·",M36/D36)</f>
        <v/>
      </c>
      <c r="L36" s="47" t="n">
        <v>460736</v>
      </c>
      <c r="M36" s="39" t="n">
        <v>794400</v>
      </c>
      <c r="N36" s="48" t="n">
        <v>73.72331370000001</v>
      </c>
      <c r="O36" s="48" t="n">
        <v>75.6567452</v>
      </c>
      <c r="P36" s="48" t="n">
        <v>29.5814074</v>
      </c>
      <c r="Q36" s="48" t="n">
        <v>38.5617551</v>
      </c>
      <c r="R36" s="48" t="n">
        <v>38.567952</v>
      </c>
      <c r="S36" s="48" t="n">
        <v>49.0522225</v>
      </c>
      <c r="T36" s="48" t="n">
        <v>28.8589521</v>
      </c>
      <c r="U36" s="40" t="n">
        <v>123.749293</v>
      </c>
      <c r="V36" s="40" t="n">
        <v>1.3807829</v>
      </c>
      <c r="X36" s="37">
        <f>IF(OR(ISBLANK(AA36),ISBLANK(G36)),"·",AA36*G36/F36/1000000)</f>
        <v/>
      </c>
      <c r="Y36" s="38">
        <f>IF(ISBLANK(AA36),"·",AA36/D36)</f>
        <v/>
      </c>
      <c r="Z36" s="47" t="n">
        <v>460736</v>
      </c>
      <c r="AA36" s="39" t="n">
        <v>489384</v>
      </c>
      <c r="AB36" s="48" t="n">
        <v>73.72331370000001</v>
      </c>
      <c r="AC36" s="48" t="n">
        <v>75.6567452</v>
      </c>
      <c r="AD36" s="48" t="n">
        <v>28.4585143</v>
      </c>
      <c r="AE36" s="48" t="n">
        <v>38.2246809</v>
      </c>
      <c r="AF36" s="48" t="n">
        <v>37.9420887</v>
      </c>
      <c r="AG36" s="48" t="n">
        <v>49.0522225</v>
      </c>
      <c r="AH36" s="48" t="n">
        <v>28.0255074</v>
      </c>
      <c r="AI36" s="40" t="n">
        <v>108.512726</v>
      </c>
      <c r="AJ36" s="40" t="n">
        <v>1.15020572</v>
      </c>
      <c r="AL36" s="41" t="n"/>
      <c r="AM36" s="41" t="n"/>
      <c r="AN36" s="41" t="n"/>
      <c r="AO36" s="41" t="n"/>
      <c r="AP36" s="41" t="n"/>
      <c r="AQ36" s="41" t="n"/>
      <c r="AR36" s="41" t="n"/>
    </row>
    <row r="37" outlineLevel="1" s="5">
      <c r="A37" s="74" t="n"/>
      <c r="B37" s="74" t="inlineStr">
        <is>
          <t>mitch_voxelised</t>
        </is>
      </c>
      <c r="C37" s="20" t="inlineStr">
        <is>
          <t>r03</t>
        </is>
      </c>
      <c r="D37" s="74" t="n">
        <v>9000000</v>
      </c>
      <c r="E37" s="19" t="n">
        <v>12</v>
      </c>
      <c r="F37" s="20" t="n">
        <v>4</v>
      </c>
      <c r="G37" s="20" t="n">
        <v>30</v>
      </c>
      <c r="H37" s="20" t="n">
        <v>11</v>
      </c>
      <c r="J37" s="21">
        <f>IF(OR(ISBLANK(M37),ISBLANK(G37)),"·",M37*G37/F37/1000000)</f>
        <v/>
      </c>
      <c r="K37" s="22">
        <f>IF(ISBLANK(M37),"·",M37/D37)</f>
        <v/>
      </c>
      <c r="L37" s="45" t="n">
        <v>57580</v>
      </c>
      <c r="M37" s="23" t="n">
        <v>1384080</v>
      </c>
      <c r="N37" s="46" t="n">
        <v>81.64978929999999</v>
      </c>
      <c r="O37" s="46" t="n">
        <v>84.6609618</v>
      </c>
      <c r="P37" s="46" t="n">
        <v>29.8241879</v>
      </c>
      <c r="Q37" s="46" t="n">
        <v>38.4323232</v>
      </c>
      <c r="R37" s="46" t="n">
        <v>38.57938</v>
      </c>
      <c r="S37" s="46" t="n">
        <v>53.1853951</v>
      </c>
      <c r="T37" s="46" t="n">
        <v>29.578313</v>
      </c>
      <c r="U37" s="24" t="n">
        <v>454.318852</v>
      </c>
      <c r="V37" s="24" t="n">
        <v>5.0739246</v>
      </c>
      <c r="X37" s="21">
        <f>IF(OR(ISBLANK(AA37),ISBLANK(G37)),"·",AA37*G37/F37/1000000)</f>
        <v/>
      </c>
      <c r="Y37" s="22">
        <f>IF(ISBLANK(AA37),"·",AA37/D37)</f>
        <v/>
      </c>
      <c r="Z37" s="45" t="n">
        <v>57580</v>
      </c>
      <c r="AA37" s="23" t="n">
        <v>921656</v>
      </c>
      <c r="AB37" s="46" t="n">
        <v>81.64978929999999</v>
      </c>
      <c r="AC37" s="46" t="n">
        <v>84.6609618</v>
      </c>
      <c r="AD37" s="46" t="n">
        <v>27.447917</v>
      </c>
      <c r="AE37" s="46" t="n">
        <v>37.8024989</v>
      </c>
      <c r="AF37" s="46" t="n">
        <v>37.2587646</v>
      </c>
      <c r="AG37" s="46" t="n">
        <v>53.1853951</v>
      </c>
      <c r="AH37" s="46" t="n">
        <v>27.3771375</v>
      </c>
      <c r="AI37" s="24" t="n">
        <v>276.323844</v>
      </c>
      <c r="AJ37" s="24" t="n">
        <v>0.774248351</v>
      </c>
      <c r="AL37" s="25" t="n"/>
      <c r="AM37" s="25" t="n"/>
      <c r="AN37" s="25" t="n"/>
      <c r="AO37" s="25" t="n"/>
      <c r="AP37" s="25" t="n"/>
      <c r="AQ37" s="25" t="n"/>
      <c r="AR37" s="25" t="n"/>
    </row>
    <row r="38" outlineLevel="1" s="5">
      <c r="A38" s="75" t="n"/>
      <c r="B38" s="75" t="inlineStr">
        <is>
          <t>mitch_voxelised</t>
        </is>
      </c>
      <c r="C38" s="36" t="inlineStr">
        <is>
          <t>r04</t>
        </is>
      </c>
      <c r="D38" s="75" t="n">
        <v>9000000</v>
      </c>
      <c r="E38" s="35" t="n">
        <v>12</v>
      </c>
      <c r="F38" s="36" t="n">
        <v>4</v>
      </c>
      <c r="G38" s="36" t="n">
        <v>30</v>
      </c>
      <c r="H38" s="36" t="n">
        <v>16</v>
      </c>
      <c r="J38" s="37">
        <f>IF(OR(ISBLANK(M38),ISBLANK(G38)),"·",M38*G38/F38/1000000)</f>
        <v/>
      </c>
      <c r="K38" s="38">
        <f>IF(ISBLANK(M38),"·",M38/D38)</f>
        <v/>
      </c>
      <c r="L38" s="47" t="n">
        <v>86376</v>
      </c>
      <c r="M38" s="39" t="n">
        <v>2118344</v>
      </c>
      <c r="N38" s="48" t="n">
        <v>88.3284393</v>
      </c>
      <c r="O38" s="48" t="n">
        <v>92.75479900000001</v>
      </c>
      <c r="P38" s="48" t="n">
        <v>30.556181</v>
      </c>
      <c r="Q38" s="48" t="n">
        <v>38.6928659</v>
      </c>
      <c r="R38" s="48" t="n">
        <v>38.8591316</v>
      </c>
      <c r="S38" s="48" t="n">
        <v>58.3374411</v>
      </c>
      <c r="T38" s="48" t="n">
        <v>30.4475387</v>
      </c>
      <c r="U38" s="40" t="n">
        <v>558.888064</v>
      </c>
      <c r="V38" s="40" t="n">
        <v>5.76347172</v>
      </c>
      <c r="X38" s="37">
        <f>IF(OR(ISBLANK(AA38),ISBLANK(G38)),"·",AA38*G38/F38/1000000)</f>
        <v/>
      </c>
      <c r="Y38" s="38">
        <f>IF(ISBLANK(AA38),"·",AA38/D38)</f>
        <v/>
      </c>
      <c r="Z38" s="47" t="n">
        <v>86376</v>
      </c>
      <c r="AA38" s="39" t="n">
        <v>1314528</v>
      </c>
      <c r="AB38" s="48" t="n">
        <v>88.3284393</v>
      </c>
      <c r="AC38" s="48" t="n">
        <v>92.75479900000001</v>
      </c>
      <c r="AD38" s="48" t="n">
        <v>28.0214513</v>
      </c>
      <c r="AE38" s="48" t="n">
        <v>38.0564822</v>
      </c>
      <c r="AF38" s="48" t="n">
        <v>37.5874641</v>
      </c>
      <c r="AG38" s="48" t="n">
        <v>58.3374411</v>
      </c>
      <c r="AH38" s="48" t="n">
        <v>27.9750662</v>
      </c>
      <c r="AI38" s="40" t="n">
        <v>371.231082</v>
      </c>
      <c r="AJ38" s="40" t="n">
        <v>0.965575129</v>
      </c>
      <c r="AL38" s="41" t="n"/>
      <c r="AM38" s="41" t="n"/>
      <c r="AN38" s="41" t="n"/>
      <c r="AO38" s="41" t="n"/>
      <c r="AP38" s="41" t="n"/>
      <c r="AQ38" s="41" t="n"/>
      <c r="AR38" s="41" t="n"/>
    </row>
    <row r="39" outlineLevel="1" ht="15.75" customHeight="1" s="5" thickBot="1">
      <c r="A39" s="74" t="n"/>
      <c r="B39" s="49" t="inlineStr">
        <is>
          <t>mitch_voxelised</t>
        </is>
      </c>
      <c r="C39" s="50" t="inlineStr">
        <is>
          <t>r05</t>
        </is>
      </c>
      <c r="D39" s="49" t="n">
        <v>9000000</v>
      </c>
      <c r="E39" s="51" t="n">
        <v>12</v>
      </c>
      <c r="F39" s="50" t="n">
        <v>4</v>
      </c>
      <c r="G39" s="50" t="n">
        <v>30</v>
      </c>
      <c r="H39" s="50" t="n">
        <v>24</v>
      </c>
      <c r="J39" s="52">
        <f>IF(OR(ISBLANK(M39),ISBLANK(G39)),"·",M39*G39/F39/1000000)</f>
        <v/>
      </c>
      <c r="K39" s="53">
        <f>IF(ISBLANK(M39),"·",M39/D39)</f>
        <v/>
      </c>
      <c r="L39" s="54" t="n">
        <v>86376</v>
      </c>
      <c r="M39" s="55" t="n">
        <v>3302256</v>
      </c>
      <c r="N39" s="56" t="n">
        <v>88.3284393</v>
      </c>
      <c r="O39" s="56" t="n">
        <v>92.75479900000001</v>
      </c>
      <c r="P39" s="56" t="n">
        <v>31.6349768</v>
      </c>
      <c r="Q39" s="56" t="n">
        <v>38.8097731</v>
      </c>
      <c r="R39" s="56" t="n">
        <v>39.1000848</v>
      </c>
      <c r="S39" s="56" t="n">
        <v>58.3374411</v>
      </c>
      <c r="T39" s="56" t="n">
        <v>31.4917073</v>
      </c>
      <c r="U39" s="57" t="n">
        <v>553.702057</v>
      </c>
      <c r="V39" s="57" t="n">
        <v>5.58278991</v>
      </c>
      <c r="X39" s="52">
        <f>IF(OR(ISBLANK(AA39),ISBLANK(G39)),"·",AA39*G39/F39/1000000)</f>
        <v/>
      </c>
      <c r="Y39" s="53">
        <f>IF(ISBLANK(AA39),"·",AA39/D39)</f>
        <v/>
      </c>
      <c r="Z39" s="54" t="n">
        <v>86376</v>
      </c>
      <c r="AA39" s="55" t="n">
        <v>1448664</v>
      </c>
      <c r="AB39" s="56" t="n">
        <v>88.3284393</v>
      </c>
      <c r="AC39" s="56" t="n">
        <v>92.75479900000001</v>
      </c>
      <c r="AD39" s="56" t="n">
        <v>28.6199088</v>
      </c>
      <c r="AE39" s="56" t="n">
        <v>38.1632371</v>
      </c>
      <c r="AF39" s="56" t="n">
        <v>37.9059465</v>
      </c>
      <c r="AG39" s="56" t="n">
        <v>58.3374411</v>
      </c>
      <c r="AH39" s="56" t="n">
        <v>28.5416493</v>
      </c>
      <c r="AI39" s="57" t="n">
        <v>360.08557</v>
      </c>
      <c r="AJ39" s="57" t="n">
        <v>1.13650377</v>
      </c>
      <c r="AL39" s="58" t="n"/>
      <c r="AM39" s="58" t="n"/>
      <c r="AN39" s="58" t="n"/>
      <c r="AO39" s="58" t="n"/>
      <c r="AP39" s="58" t="n"/>
      <c r="AQ39" s="58" t="n"/>
      <c r="AR39" s="58" t="n"/>
    </row>
    <row r="40">
      <c r="A40" s="75" t="n"/>
      <c r="B40" s="75" t="inlineStr">
        <is>
          <t>thomas_voxelised</t>
        </is>
      </c>
      <c r="C40" s="36" t="inlineStr">
        <is>
          <t>r01</t>
        </is>
      </c>
      <c r="D40" s="75" t="n">
        <v>9000000</v>
      </c>
      <c r="E40" s="35" t="n">
        <v>12</v>
      </c>
      <c r="F40" s="36" t="n">
        <v>4</v>
      </c>
      <c r="G40" s="36" t="n">
        <v>30</v>
      </c>
      <c r="H40" s="36" t="n">
        <v>4</v>
      </c>
      <c r="J40" s="37">
        <f>IF(OR(ISBLANK(M40),ISBLANK(G40)),"·",M40*G40/F40/1000000)</f>
        <v/>
      </c>
      <c r="K40" s="38">
        <f>IF(ISBLANK(M40),"·",M40/D40)</f>
        <v/>
      </c>
      <c r="L40" s="47" t="n">
        <v>460416</v>
      </c>
      <c r="M40" s="39" t="n">
        <v>518264</v>
      </c>
      <c r="N40" s="48" t="n">
        <v>73.3074769</v>
      </c>
      <c r="O40" s="48" t="n">
        <v>74.90705680000001</v>
      </c>
      <c r="P40" s="48" t="n">
        <v>31.8516857</v>
      </c>
      <c r="Q40" s="48" t="n">
        <v>41.982322</v>
      </c>
      <c r="R40" s="48" t="n">
        <v>42.1258959</v>
      </c>
      <c r="S40" s="48" t="n">
        <v>49.0300104</v>
      </c>
      <c r="T40" s="48" t="n">
        <v>31.2240777</v>
      </c>
      <c r="U40" s="40" t="n">
        <v>110.764449</v>
      </c>
      <c r="V40" s="40" t="n">
        <v>1.30238313</v>
      </c>
      <c r="X40" s="37">
        <f>IF(OR(ISBLANK(AA40),ISBLANK(G40)),"·",AA40*G40/F40/1000000)</f>
        <v/>
      </c>
      <c r="Y40" s="38">
        <f>IF(ISBLANK(AA40),"·",AA40/D40)</f>
        <v/>
      </c>
      <c r="Z40" s="47" t="n">
        <v>460416</v>
      </c>
      <c r="AA40" s="39" t="n">
        <v>350008</v>
      </c>
      <c r="AB40" s="48" t="n">
        <v>73.3074769</v>
      </c>
      <c r="AC40" s="48" t="n">
        <v>74.90705680000001</v>
      </c>
      <c r="AD40" s="48" t="n">
        <v>30.5781308</v>
      </c>
      <c r="AE40" s="48" t="n">
        <v>41.0759806</v>
      </c>
      <c r="AF40" s="48" t="n">
        <v>41.1015876</v>
      </c>
      <c r="AG40" s="48" t="n">
        <v>49.0300104</v>
      </c>
      <c r="AH40" s="48" t="n">
        <v>30.2475626</v>
      </c>
      <c r="AI40" s="40" t="n">
        <v>107.47641</v>
      </c>
      <c r="AJ40" s="40" t="n">
        <v>0.977905656</v>
      </c>
      <c r="AL40" s="41">
        <f t="array" ref="AL40">IF( OR(AND(ISBLANK(M40:M44)),AND(ISBLANK(AA40:AA44)), AND(ISBLANK(N40:N44)),AND(ISBLANK(AB40:AB44))), "·", bdRateExtend( M40:M44,N40:N44, AA40:AA44,AB40:AB44))</f>
        <v/>
      </c>
      <c r="AM40" s="41">
        <f t="array" ref="AM40">IF( OR(AND(ISBLANK(M40:M44)),AND(ISBLANK(AA40:AA44)), AND(ISBLANK(O40:O44)),AND(ISBLANK(AC40:AC44))), "·", bdRateExtend( M40:M44,O40:O44, AA40:AA44,AC40:AC44))</f>
        <v/>
      </c>
      <c r="AN40" s="41">
        <f t="array" ref="AN40">IF( OR(AND(ISBLANK(M40:M44)),AND(ISBLANK(AA40:AA44)), AND(ISBLANK(P40:P44)),AND(ISBLANK(AD40:AD44))), "·", bdRateExtend( M40:M44,P40:P44, AA40:AA44,AD40:AD44))</f>
        <v/>
      </c>
      <c r="AO40" s="41">
        <f t="array" ref="AO40">IF( OR(AND(ISBLANK(M40:M44)),AND(ISBLANK(AA40:AA44)), AND(ISBLANK(Q40:Q44)),AND(ISBLANK(AE40:AE44))), "·", bdRateExtend( M40:M44,Q40:Q44, AA40:AA44,AE40:AE44))</f>
        <v/>
      </c>
      <c r="AP40" s="41">
        <f t="array" ref="AP40">IF( OR(AND(ISBLANK(M40:M44)),AND(ISBLANK(AA40:AA44)), AND(ISBLANK(R40:R44)),AND(ISBLANK(AF40:AF44))), "·", bdRateExtend( M40:M44,R40:R44, AA40:AA44,AF40:AF44))</f>
        <v/>
      </c>
      <c r="AQ40" s="41">
        <f t="array" ref="AQ40">IF( OR(AND(ISBLANK(M40:M44)),AND(ISBLANK(AA40:AA44)), AND(ISBLANK(S40:S44)),AND(ISBLANK(AG40:AG44))), "·", bdRateExtend( M40:M44,S40:S44, AA40:AA44,AG40:AG44))</f>
        <v/>
      </c>
      <c r="AR40" s="41">
        <f t="array" ref="AR40">IF( OR(AND(ISBLANK(M40:M44)),AND(ISBLANK(AA40:AA44)), AND(ISBLANK(T40:T44)),AND(ISBLANK(AH40:AH44))), "·", bdRateExtend( M40:M44,T40:T44, AA40:AA44,AH40:AH44))</f>
        <v/>
      </c>
    </row>
    <row r="41" outlineLevel="1" s="5">
      <c r="A41" s="74" t="n"/>
      <c r="B41" s="74" t="inlineStr">
        <is>
          <t>thomas_voxelised</t>
        </is>
      </c>
      <c r="C41" s="20" t="inlineStr">
        <is>
          <t>r02</t>
        </is>
      </c>
      <c r="D41" s="74" t="n">
        <v>9000000</v>
      </c>
      <c r="E41" s="19" t="n">
        <v>12</v>
      </c>
      <c r="F41" s="20" t="n">
        <v>4</v>
      </c>
      <c r="G41" s="20" t="n">
        <v>30</v>
      </c>
      <c r="H41" s="20" t="n">
        <v>6</v>
      </c>
      <c r="J41" s="21">
        <f>IF(OR(ISBLANK(M41),ISBLANK(G41)),"·",M41*G41/F41/1000000)</f>
        <v/>
      </c>
      <c r="K41" s="22">
        <f>IF(ISBLANK(M41),"·",M41/D41)</f>
        <v/>
      </c>
      <c r="L41" s="45" t="n">
        <v>460416</v>
      </c>
      <c r="M41" s="23" t="n">
        <v>798856</v>
      </c>
      <c r="N41" s="46" t="n">
        <v>74.49032510000001</v>
      </c>
      <c r="O41" s="46" t="n">
        <v>76.2742954</v>
      </c>
      <c r="P41" s="46" t="n">
        <v>32.4749948</v>
      </c>
      <c r="Q41" s="46" t="n">
        <v>42.2534684</v>
      </c>
      <c r="R41" s="46" t="n">
        <v>42.6660224</v>
      </c>
      <c r="S41" s="46" t="n">
        <v>49.6864292</v>
      </c>
      <c r="T41" s="46" t="n">
        <v>31.7826309</v>
      </c>
      <c r="U41" s="24" t="n">
        <v>115.339213</v>
      </c>
      <c r="V41" s="24" t="n">
        <v>1.44731954</v>
      </c>
      <c r="X41" s="21">
        <f>IF(OR(ISBLANK(AA41),ISBLANK(G41)),"·",AA41*G41/F41/1000000)</f>
        <v/>
      </c>
      <c r="Y41" s="22">
        <f>IF(ISBLANK(AA41),"·",AA41/D41)</f>
        <v/>
      </c>
      <c r="Z41" s="45" t="n">
        <v>460416</v>
      </c>
      <c r="AA41" s="23" t="n">
        <v>488536</v>
      </c>
      <c r="AB41" s="46" t="n">
        <v>74.49032510000001</v>
      </c>
      <c r="AC41" s="46" t="n">
        <v>76.2742954</v>
      </c>
      <c r="AD41" s="46" t="n">
        <v>31.2335738</v>
      </c>
      <c r="AE41" s="46" t="n">
        <v>41.4294263</v>
      </c>
      <c r="AF41" s="46" t="n">
        <v>41.5719602</v>
      </c>
      <c r="AG41" s="46" t="n">
        <v>49.6864292</v>
      </c>
      <c r="AH41" s="46" t="n">
        <v>30.8353273</v>
      </c>
      <c r="AI41" s="24" t="n">
        <v>94.320336</v>
      </c>
      <c r="AJ41" s="24" t="n">
        <v>1.08234807</v>
      </c>
      <c r="AL41" s="25" t="n"/>
      <c r="AM41" s="25" t="n"/>
      <c r="AN41" s="25" t="n"/>
      <c r="AO41" s="25" t="n"/>
      <c r="AP41" s="25" t="n"/>
      <c r="AQ41" s="25" t="n"/>
      <c r="AR41" s="25" t="n"/>
    </row>
    <row r="42" outlineLevel="1" s="5">
      <c r="A42" s="75" t="n"/>
      <c r="B42" s="75" t="inlineStr">
        <is>
          <t>thomas_voxelised</t>
        </is>
      </c>
      <c r="C42" s="36" t="inlineStr">
        <is>
          <t>r03</t>
        </is>
      </c>
      <c r="D42" s="75" t="n">
        <v>9000000</v>
      </c>
      <c r="E42" s="35" t="n">
        <v>12</v>
      </c>
      <c r="F42" s="36" t="n">
        <v>4</v>
      </c>
      <c r="G42" s="36" t="n">
        <v>30</v>
      </c>
      <c r="H42" s="36" t="n">
        <v>11</v>
      </c>
      <c r="J42" s="37">
        <f>IF(OR(ISBLANK(M42),ISBLANK(G42)),"·",M42*G42/F42/1000000)</f>
        <v/>
      </c>
      <c r="K42" s="38">
        <f>IF(ISBLANK(M42),"·",M42/D42)</f>
        <v/>
      </c>
      <c r="L42" s="47" t="n">
        <v>57580</v>
      </c>
      <c r="M42" s="39" t="n">
        <v>1417088</v>
      </c>
      <c r="N42" s="48" t="n">
        <v>82.0948281</v>
      </c>
      <c r="O42" s="48" t="n">
        <v>84.9774797</v>
      </c>
      <c r="P42" s="48" t="n">
        <v>33.0025668</v>
      </c>
      <c r="Q42" s="48" t="n">
        <v>42.5043415</v>
      </c>
      <c r="R42" s="48" t="n">
        <v>42.8505214</v>
      </c>
      <c r="S42" s="48" t="n">
        <v>53.955231</v>
      </c>
      <c r="T42" s="48" t="n">
        <v>32.7830447</v>
      </c>
      <c r="U42" s="40" t="n">
        <v>432.735586</v>
      </c>
      <c r="V42" s="40" t="n">
        <v>5.14260472</v>
      </c>
      <c r="X42" s="37">
        <f>IF(OR(ISBLANK(AA42),ISBLANK(G42)),"·",AA42*G42/F42/1000000)</f>
        <v/>
      </c>
      <c r="Y42" s="38">
        <f>IF(ISBLANK(AA42),"·",AA42/D42)</f>
        <v/>
      </c>
      <c r="Z42" s="47" t="n">
        <v>57580</v>
      </c>
      <c r="AA42" s="39" t="n">
        <v>915464</v>
      </c>
      <c r="AB42" s="48" t="n">
        <v>82.0948281</v>
      </c>
      <c r="AC42" s="48" t="n">
        <v>84.9774797</v>
      </c>
      <c r="AD42" s="48" t="n">
        <v>30.4160671</v>
      </c>
      <c r="AE42" s="48" t="n">
        <v>41.0487701</v>
      </c>
      <c r="AF42" s="48" t="n">
        <v>41.0495051</v>
      </c>
      <c r="AG42" s="48" t="n">
        <v>53.955231</v>
      </c>
      <c r="AH42" s="48" t="n">
        <v>30.3704187</v>
      </c>
      <c r="AI42" s="40" t="n">
        <v>260.645486</v>
      </c>
      <c r="AJ42" s="40" t="n">
        <v>0.909658923</v>
      </c>
      <c r="AL42" s="41" t="n"/>
      <c r="AM42" s="41" t="n"/>
      <c r="AN42" s="41" t="n"/>
      <c r="AO42" s="41" t="n"/>
      <c r="AP42" s="41" t="n"/>
      <c r="AQ42" s="41" t="n"/>
      <c r="AR42" s="41" t="n"/>
    </row>
    <row r="43" outlineLevel="1" s="5">
      <c r="A43" s="74" t="n"/>
      <c r="B43" s="74" t="inlineStr">
        <is>
          <t>thomas_voxelised</t>
        </is>
      </c>
      <c r="C43" s="20" t="inlineStr">
        <is>
          <t>r04</t>
        </is>
      </c>
      <c r="D43" s="74" t="n">
        <v>9000000</v>
      </c>
      <c r="E43" s="19" t="n">
        <v>12</v>
      </c>
      <c r="F43" s="20" t="n">
        <v>4</v>
      </c>
      <c r="G43" s="20" t="n">
        <v>30</v>
      </c>
      <c r="H43" s="20" t="n">
        <v>16</v>
      </c>
      <c r="J43" s="21">
        <f>IF(OR(ISBLANK(M43),ISBLANK(G43)),"·",M43*G43/F43/1000000)</f>
        <v/>
      </c>
      <c r="K43" s="22">
        <f>IF(ISBLANK(M43),"·",M43/D43)</f>
        <v/>
      </c>
      <c r="L43" s="45" t="n">
        <v>71977</v>
      </c>
      <c r="M43" s="23" t="n">
        <v>2054800</v>
      </c>
      <c r="N43" s="46" t="n">
        <v>85.00275240000001</v>
      </c>
      <c r="O43" s="46" t="n">
        <v>88.5959629</v>
      </c>
      <c r="P43" s="46" t="n">
        <v>33.6577751</v>
      </c>
      <c r="Q43" s="46" t="n">
        <v>42.7009346</v>
      </c>
      <c r="R43" s="46" t="n">
        <v>43.2096481</v>
      </c>
      <c r="S43" s="46" t="n">
        <v>55.8111899</v>
      </c>
      <c r="T43" s="46" t="n">
        <v>33.503777</v>
      </c>
      <c r="U43" s="24" t="n">
        <v>485.478561</v>
      </c>
      <c r="V43" s="24" t="n">
        <v>5.4157751</v>
      </c>
      <c r="X43" s="21">
        <f>IF(OR(ISBLANK(AA43),ISBLANK(G43)),"·",AA43*G43/F43/1000000)</f>
        <v/>
      </c>
      <c r="Y43" s="22">
        <f>IF(ISBLANK(AA43),"·",AA43/D43)</f>
        <v/>
      </c>
      <c r="Z43" s="45" t="n">
        <v>71977</v>
      </c>
      <c r="AA43" s="23" t="n">
        <v>1146480</v>
      </c>
      <c r="AB43" s="46" t="n">
        <v>85.00275240000001</v>
      </c>
      <c r="AC43" s="46" t="n">
        <v>88.5959629</v>
      </c>
      <c r="AD43" s="46" t="n">
        <v>30.9667291</v>
      </c>
      <c r="AE43" s="46" t="n">
        <v>41.2458913</v>
      </c>
      <c r="AF43" s="46" t="n">
        <v>41.3021723</v>
      </c>
      <c r="AG43" s="46" t="n">
        <v>55.8111899</v>
      </c>
      <c r="AH43" s="46" t="n">
        <v>30.9118618</v>
      </c>
      <c r="AI43" s="24" t="n">
        <v>302.914806</v>
      </c>
      <c r="AJ43" s="24" t="n">
        <v>0.94051034</v>
      </c>
      <c r="AL43" s="25" t="n"/>
      <c r="AM43" s="25" t="n"/>
      <c r="AN43" s="25" t="n"/>
      <c r="AO43" s="25" t="n"/>
      <c r="AP43" s="25" t="n"/>
      <c r="AQ43" s="25" t="n"/>
      <c r="AR43" s="25" t="n"/>
    </row>
    <row r="44" outlineLevel="1" ht="15.75" customHeight="1" s="5" thickBot="1">
      <c r="A44" s="26" t="n"/>
      <c r="B44" s="26" t="inlineStr">
        <is>
          <t>thomas_voxelised</t>
        </is>
      </c>
      <c r="C44" s="28" t="inlineStr">
        <is>
          <t>r05</t>
        </is>
      </c>
      <c r="D44" s="26" t="n">
        <v>9000000</v>
      </c>
      <c r="E44" s="27" t="n">
        <v>12</v>
      </c>
      <c r="F44" s="28" t="n">
        <v>4</v>
      </c>
      <c r="G44" s="28" t="n">
        <v>30</v>
      </c>
      <c r="H44" s="28" t="n">
        <v>24</v>
      </c>
      <c r="J44" s="29">
        <f>IF(OR(ISBLANK(M44),ISBLANK(G44)),"·",M44*G44/F44/1000000)</f>
        <v/>
      </c>
      <c r="K44" s="30">
        <f>IF(ISBLANK(M44),"·",M44/D44)</f>
        <v/>
      </c>
      <c r="L44" s="59" t="n">
        <v>71977</v>
      </c>
      <c r="M44" s="31" t="n">
        <v>3040456</v>
      </c>
      <c r="N44" s="60" t="n">
        <v>85.00275240000001</v>
      </c>
      <c r="O44" s="60" t="n">
        <v>88.5959629</v>
      </c>
      <c r="P44" s="60" t="n">
        <v>34.4979755</v>
      </c>
      <c r="Q44" s="60" t="n">
        <v>42.9785352</v>
      </c>
      <c r="R44" s="60" t="n">
        <v>43.6123888</v>
      </c>
      <c r="S44" s="60" t="n">
        <v>55.8111899</v>
      </c>
      <c r="T44" s="60" t="n">
        <v>34.2914565</v>
      </c>
      <c r="U44" s="32" t="n">
        <v>495.068072</v>
      </c>
      <c r="V44" s="32" t="n">
        <v>5.66298531</v>
      </c>
      <c r="X44" s="29">
        <f>IF(OR(ISBLANK(AA44),ISBLANK(G44)),"·",AA44*G44/F44/1000000)</f>
        <v/>
      </c>
      <c r="Y44" s="30">
        <f>IF(ISBLANK(AA44),"·",AA44/D44)</f>
        <v/>
      </c>
      <c r="Z44" s="59" t="n">
        <v>71977</v>
      </c>
      <c r="AA44" s="31" t="n">
        <v>1242256</v>
      </c>
      <c r="AB44" s="60" t="n">
        <v>85.00275240000001</v>
      </c>
      <c r="AC44" s="60" t="n">
        <v>88.5959629</v>
      </c>
      <c r="AD44" s="60" t="n">
        <v>31.4198041</v>
      </c>
      <c r="AE44" s="60" t="n">
        <v>41.5665401</v>
      </c>
      <c r="AF44" s="60" t="n">
        <v>41.8039033</v>
      </c>
      <c r="AG44" s="60" t="n">
        <v>55.8111899</v>
      </c>
      <c r="AH44" s="60" t="n">
        <v>31.3407985</v>
      </c>
      <c r="AI44" s="32" t="n">
        <v>360.660916</v>
      </c>
      <c r="AJ44" s="32" t="n">
        <v>0.94029426</v>
      </c>
      <c r="AL44" s="33" t="n"/>
      <c r="AM44" s="33" t="n"/>
      <c r="AN44" s="33" t="n"/>
      <c r="AO44" s="33" t="n"/>
      <c r="AP44" s="33" t="n"/>
      <c r="AQ44" s="33" t="n"/>
      <c r="AR44" s="33" t="n"/>
    </row>
    <row r="45">
      <c r="B45" s="42" t="inlineStr">
        <is>
          <t>Cat1-A average</t>
        </is>
      </c>
      <c r="K45" s="43">
        <f>AVERAGE(K5:K14)</f>
        <v/>
      </c>
      <c r="Y45" s="43">
        <f>AVERAGE(Y5:Y14)</f>
        <v/>
      </c>
      <c r="AL45" s="6">
        <f>AVERAGE(AL5:AL14)</f>
        <v/>
      </c>
      <c r="AM45" s="6">
        <f>AVERAGE(AM5:AM14)</f>
        <v/>
      </c>
      <c r="AN45" s="6">
        <f>AVERAGE(AN5:AN14)</f>
        <v/>
      </c>
      <c r="AO45" s="6">
        <f>AVERAGE(AO5:AO14)</f>
        <v/>
      </c>
      <c r="AP45" s="6">
        <f>AVERAGE(AP5:AP14)</f>
        <v/>
      </c>
      <c r="AQ45" s="6">
        <f>AVERAGE(AQ5:AQ14)</f>
        <v/>
      </c>
      <c r="AR45" s="6">
        <f>AVERAGE(AR5:AR14)</f>
        <v/>
      </c>
    </row>
    <row r="46">
      <c r="B46" s="42" t="inlineStr">
        <is>
          <t>Cat1-B average</t>
        </is>
      </c>
      <c r="K46" s="43">
        <f>AVERAGE(K15:K24)</f>
        <v/>
      </c>
      <c r="Y46" s="43">
        <f>AVERAGE(Y15:Y24)</f>
        <v/>
      </c>
      <c r="AL46" s="6">
        <f>AVERAGE(AL15:AL24)</f>
        <v/>
      </c>
      <c r="AM46" s="6">
        <f>AVERAGE(AM15:AM24)</f>
        <v/>
      </c>
      <c r="AN46" s="6">
        <f>AVERAGE(AN15:AN24)</f>
        <v/>
      </c>
      <c r="AO46" s="6">
        <f>AVERAGE(AO15:AO24)</f>
        <v/>
      </c>
      <c r="AP46" s="6">
        <f>AVERAGE(AP15:AP24)</f>
        <v/>
      </c>
      <c r="AQ46" s="6">
        <f>AVERAGE(AQ15:AQ24)</f>
        <v/>
      </c>
      <c r="AR46" s="6">
        <f>AVERAGE(AR15:AR24)</f>
        <v/>
      </c>
    </row>
    <row r="47">
      <c r="B47" s="42" t="inlineStr">
        <is>
          <t>Cat1-C average</t>
        </is>
      </c>
      <c r="K47" s="43">
        <f>AVERAGE(K25:K44)</f>
        <v/>
      </c>
      <c r="Y47" s="43">
        <f>AVERAGE(Y25:Y44)</f>
        <v/>
      </c>
      <c r="AL47" s="6">
        <f>AVERAGE(AL25:AL44)</f>
        <v/>
      </c>
      <c r="AM47" s="6">
        <f>AVERAGE(AM25:AM44)</f>
        <v/>
      </c>
      <c r="AN47" s="6">
        <f>AVERAGE(AN25:AN44)</f>
        <v/>
      </c>
      <c r="AO47" s="6">
        <f>AVERAGE(AO25:AO44)</f>
        <v/>
      </c>
      <c r="AP47" s="6">
        <f>AVERAGE(AP25:AP44)</f>
        <v/>
      </c>
      <c r="AQ47" s="6">
        <f>AVERAGE(AQ25:AQ44)</f>
        <v/>
      </c>
      <c r="AR47" s="6">
        <f>AVERAGE(AR25:AR44)</f>
        <v/>
      </c>
    </row>
    <row r="48" ht="15.75" customHeight="1" s="5" thickBot="1">
      <c r="B48" s="42" t="inlineStr">
        <is>
          <t>Overall average</t>
        </is>
      </c>
      <c r="K48" s="43">
        <f>AVERAGE(K5:K44)</f>
        <v/>
      </c>
      <c r="Y48" s="43">
        <f>AVERAGE(Y5:Y44)</f>
        <v/>
      </c>
      <c r="AL48" s="6">
        <f>AVERAGE(AL5:AL44)</f>
        <v/>
      </c>
      <c r="AM48" s="6">
        <f>AVERAGE(AM5:AM44)</f>
        <v/>
      </c>
      <c r="AN48" s="6">
        <f>AVERAGE(AN5:AN44)</f>
        <v/>
      </c>
      <c r="AO48" s="6">
        <f>AVERAGE(AO5:AO44)</f>
        <v/>
      </c>
      <c r="AP48" s="6">
        <f>AVERAGE(AP5:AP44)</f>
        <v/>
      </c>
      <c r="AQ48" s="6">
        <f>AVERAGE(AQ5:AQ44)</f>
        <v/>
      </c>
      <c r="AR48" s="6">
        <f>AVERAGE(AR5:AR44)</f>
        <v/>
      </c>
    </row>
    <row r="49" ht="15.75" customHeight="1" s="5" thickBot="1">
      <c r="A49" s="42" t="inlineStr">
        <is>
          <t>Overall</t>
        </is>
      </c>
      <c r="B49" s="42" t="inlineStr">
        <is>
          <t>Total time [s]</t>
        </is>
      </c>
      <c r="U49" s="44">
        <f>SUM(U5:U14,U15:U24,U25:U44)</f>
        <v/>
      </c>
      <c r="V49" s="44">
        <f>SUM(V5:V14,V15:V24,V25:V44)</f>
        <v/>
      </c>
      <c r="X49" s="87" t="inlineStr">
        <is>
          <t>Differences</t>
        </is>
      </c>
      <c r="Y49" s="88" t="n"/>
      <c r="Z49" s="88" t="n"/>
      <c r="AA49" s="88" t="n"/>
      <c r="AB49" s="88" t="n"/>
      <c r="AC49" s="88" t="n"/>
      <c r="AD49" s="88" t="n"/>
      <c r="AE49" s="88" t="n"/>
      <c r="AF49" s="88" t="n"/>
      <c r="AG49" s="88" t="n"/>
      <c r="AH49" s="89" t="n"/>
      <c r="AI49" s="44">
        <f>SUM(AI5:AI14,AI15:AI24,AI25:AI44)</f>
        <v/>
      </c>
      <c r="AJ49" s="44">
        <f>SUM(AJ5:AJ14,AJ15:AJ24,AJ25:AJ44)</f>
        <v/>
      </c>
    </row>
    <row r="50">
      <c r="B50" s="42" t="inlineStr">
        <is>
          <t>Total time [%]</t>
        </is>
      </c>
      <c r="X50" s="90" t="inlineStr">
        <is>
          <t>cat1-A</t>
        </is>
      </c>
      <c r="Y50" s="74" t="inlineStr">
        <is>
          <t>longdress_voxelised</t>
        </is>
      </c>
      <c r="Z50" s="74">
        <f>L5-Z5</f>
        <v/>
      </c>
      <c r="AA50" s="74">
        <f>M5-AA5</f>
        <v/>
      </c>
      <c r="AB50" s="74">
        <f>N5-AB5</f>
        <v/>
      </c>
      <c r="AC50" s="74">
        <f>O5-AC5</f>
        <v/>
      </c>
      <c r="AD50" s="74">
        <f>P5-AD5</f>
        <v/>
      </c>
      <c r="AE50" s="74">
        <f>Q5-AE5</f>
        <v/>
      </c>
      <c r="AF50" s="74">
        <f>R5-AF5</f>
        <v/>
      </c>
      <c r="AG50" s="74">
        <f>S5-AG5</f>
        <v/>
      </c>
      <c r="AH50" s="76">
        <f>T5-AH5</f>
        <v/>
      </c>
      <c r="AI50" s="67">
        <f>AI49/U49</f>
        <v/>
      </c>
      <c r="AJ50" s="67">
        <f>AJ49/V49</f>
        <v/>
      </c>
    </row>
    <row r="51">
      <c r="X51" s="91" t="n"/>
      <c r="Y51" s="75" t="inlineStr">
        <is>
          <t>longdress_voxelised</t>
        </is>
      </c>
      <c r="Z51" s="75">
        <f>L6-Z6</f>
        <v/>
      </c>
      <c r="AA51" s="75">
        <f>M6-AA6</f>
        <v/>
      </c>
      <c r="AB51" s="75">
        <f>N6-AB6</f>
        <v/>
      </c>
      <c r="AC51" s="75">
        <f>O6-AC6</f>
        <v/>
      </c>
      <c r="AD51" s="75">
        <f>P6-AD6</f>
        <v/>
      </c>
      <c r="AE51" s="75">
        <f>Q6-AE6</f>
        <v/>
      </c>
      <c r="AF51" s="75">
        <f>R6-AF6</f>
        <v/>
      </c>
      <c r="AG51" s="75">
        <f>S6-AG6</f>
        <v/>
      </c>
      <c r="AH51" s="77">
        <f>T6-AH6</f>
        <v/>
      </c>
    </row>
    <row r="52">
      <c r="X52" s="91" t="n"/>
      <c r="Y52" s="74" t="inlineStr">
        <is>
          <t>longdress_voxelised</t>
        </is>
      </c>
      <c r="Z52" s="74">
        <f>L7-Z7</f>
        <v/>
      </c>
      <c r="AA52" s="74">
        <f>M7-AA7</f>
        <v/>
      </c>
      <c r="AB52" s="74">
        <f>N7-AB7</f>
        <v/>
      </c>
      <c r="AC52" s="74">
        <f>O7-AC7</f>
        <v/>
      </c>
      <c r="AD52" s="74">
        <f>P7-AD7</f>
        <v/>
      </c>
      <c r="AE52" s="74">
        <f>Q7-AE7</f>
        <v/>
      </c>
      <c r="AF52" s="74">
        <f>R7-AF7</f>
        <v/>
      </c>
      <c r="AG52" s="74">
        <f>S7-AG7</f>
        <v/>
      </c>
      <c r="AH52" s="76">
        <f>T7-AH7</f>
        <v/>
      </c>
    </row>
    <row r="53">
      <c r="X53" s="91" t="n"/>
      <c r="Y53" s="75" t="inlineStr">
        <is>
          <t>longdress_voxelised</t>
        </is>
      </c>
      <c r="Z53" s="75">
        <f>L8-Z8</f>
        <v/>
      </c>
      <c r="AA53" s="75">
        <f>M8-AA8</f>
        <v/>
      </c>
      <c r="AB53" s="75">
        <f>N8-AB8</f>
        <v/>
      </c>
      <c r="AC53" s="75">
        <f>O8-AC8</f>
        <v/>
      </c>
      <c r="AD53" s="75">
        <f>P8-AD8</f>
        <v/>
      </c>
      <c r="AE53" s="75">
        <f>Q8-AE8</f>
        <v/>
      </c>
      <c r="AF53" s="75">
        <f>R8-AF8</f>
        <v/>
      </c>
      <c r="AG53" s="75">
        <f>S8-AG8</f>
        <v/>
      </c>
      <c r="AH53" s="77">
        <f>T8-AH8</f>
        <v/>
      </c>
    </row>
    <row r="54" ht="15.75" customHeight="1" s="5" thickBot="1">
      <c r="X54" s="91" t="n"/>
      <c r="Y54" s="49" t="inlineStr">
        <is>
          <t>longdress_voxelised</t>
        </is>
      </c>
      <c r="Z54" s="49">
        <f>L9-Z9</f>
        <v/>
      </c>
      <c r="AA54" s="49">
        <f>M9-AA9</f>
        <v/>
      </c>
      <c r="AB54" s="49">
        <f>N9-AB9</f>
        <v/>
      </c>
      <c r="AC54" s="49">
        <f>O9-AC9</f>
        <v/>
      </c>
      <c r="AD54" s="49">
        <f>P9-AD9</f>
        <v/>
      </c>
      <c r="AE54" s="49">
        <f>Q9-AE9</f>
        <v/>
      </c>
      <c r="AF54" s="49">
        <f>R9-AF9</f>
        <v/>
      </c>
      <c r="AG54" s="49">
        <f>S9-AG9</f>
        <v/>
      </c>
      <c r="AH54" s="78">
        <f>T9-AH9</f>
        <v/>
      </c>
    </row>
    <row r="55">
      <c r="X55" s="91" t="n"/>
      <c r="Y55" s="75" t="inlineStr">
        <is>
          <t>soldier_voxelised</t>
        </is>
      </c>
      <c r="Z55" s="75">
        <f>L10-Z10</f>
        <v/>
      </c>
      <c r="AA55" s="75">
        <f>M10-AA10</f>
        <v/>
      </c>
      <c r="AB55" s="75">
        <f>N10-AB10</f>
        <v/>
      </c>
      <c r="AC55" s="75">
        <f>O10-AC10</f>
        <v/>
      </c>
      <c r="AD55" s="75">
        <f>P10-AD10</f>
        <v/>
      </c>
      <c r="AE55" s="75">
        <f>Q10-AE10</f>
        <v/>
      </c>
      <c r="AF55" s="75">
        <f>R10-AF10</f>
        <v/>
      </c>
      <c r="AG55" s="75">
        <f>S10-AG10</f>
        <v/>
      </c>
      <c r="AH55" s="77">
        <f>T10-AH10</f>
        <v/>
      </c>
    </row>
    <row r="56">
      <c r="X56" s="91" t="n"/>
      <c r="Y56" s="74" t="inlineStr">
        <is>
          <t>soldier_voxelised</t>
        </is>
      </c>
      <c r="Z56" s="74">
        <f>L11-Z11</f>
        <v/>
      </c>
      <c r="AA56" s="74">
        <f>M11-AA11</f>
        <v/>
      </c>
      <c r="AB56" s="74">
        <f>N11-AB11</f>
        <v/>
      </c>
      <c r="AC56" s="74">
        <f>O11-AC11</f>
        <v/>
      </c>
      <c r="AD56" s="74">
        <f>P11-AD11</f>
        <v/>
      </c>
      <c r="AE56" s="74">
        <f>Q11-AE11</f>
        <v/>
      </c>
      <c r="AF56" s="74">
        <f>R11-AF11</f>
        <v/>
      </c>
      <c r="AG56" s="74">
        <f>S11-AG11</f>
        <v/>
      </c>
      <c r="AH56" s="76">
        <f>T11-AH11</f>
        <v/>
      </c>
    </row>
    <row r="57">
      <c r="X57" s="91" t="n"/>
      <c r="Y57" s="75" t="inlineStr">
        <is>
          <t>soldier_voxelised</t>
        </is>
      </c>
      <c r="Z57" s="75">
        <f>L12-Z12</f>
        <v/>
      </c>
      <c r="AA57" s="75">
        <f>M12-AA12</f>
        <v/>
      </c>
      <c r="AB57" s="75">
        <f>N12-AB12</f>
        <v/>
      </c>
      <c r="AC57" s="75">
        <f>O12-AC12</f>
        <v/>
      </c>
      <c r="AD57" s="75">
        <f>P12-AD12</f>
        <v/>
      </c>
      <c r="AE57" s="75">
        <f>Q12-AE12</f>
        <v/>
      </c>
      <c r="AF57" s="75">
        <f>R12-AF12</f>
        <v/>
      </c>
      <c r="AG57" s="75">
        <f>S12-AG12</f>
        <v/>
      </c>
      <c r="AH57" s="77">
        <f>T12-AH12</f>
        <v/>
      </c>
    </row>
    <row r="58">
      <c r="X58" s="91" t="n"/>
      <c r="Y58" s="74" t="inlineStr">
        <is>
          <t>soldier_voxelised</t>
        </is>
      </c>
      <c r="Z58" s="74">
        <f>L13-Z13</f>
        <v/>
      </c>
      <c r="AA58" s="74">
        <f>M13-AA13</f>
        <v/>
      </c>
      <c r="AB58" s="74">
        <f>N13-AB13</f>
        <v/>
      </c>
      <c r="AC58" s="74">
        <f>O13-AC13</f>
        <v/>
      </c>
      <c r="AD58" s="74">
        <f>P13-AD13</f>
        <v/>
      </c>
      <c r="AE58" s="74">
        <f>Q13-AE13</f>
        <v/>
      </c>
      <c r="AF58" s="74">
        <f>R13-AF13</f>
        <v/>
      </c>
      <c r="AG58" s="74">
        <f>S13-AG13</f>
        <v/>
      </c>
      <c r="AH58" s="76">
        <f>T13-AH13</f>
        <v/>
      </c>
    </row>
    <row r="59" ht="15.75" customHeight="1" s="5" thickBot="1">
      <c r="X59" s="92" t="n"/>
      <c r="Y59" s="26" t="inlineStr">
        <is>
          <t>soldier_voxelised</t>
        </is>
      </c>
      <c r="Z59" s="26">
        <f>L14-Z14</f>
        <v/>
      </c>
      <c r="AA59" s="26">
        <f>M14-AA14</f>
        <v/>
      </c>
      <c r="AB59" s="26">
        <f>N14-AB14</f>
        <v/>
      </c>
      <c r="AC59" s="26">
        <f>O14-AC14</f>
        <v/>
      </c>
      <c r="AD59" s="26">
        <f>P14-AD14</f>
        <v/>
      </c>
      <c r="AE59" s="26">
        <f>Q14-AE14</f>
        <v/>
      </c>
      <c r="AF59" s="26">
        <f>R14-AF14</f>
        <v/>
      </c>
      <c r="AG59" s="26">
        <f>S14-AG14</f>
        <v/>
      </c>
      <c r="AH59" s="79">
        <f>T14-AH14</f>
        <v/>
      </c>
    </row>
    <row r="60">
      <c r="X60" s="90" t="inlineStr">
        <is>
          <t>cat1-B</t>
        </is>
      </c>
      <c r="Y60" s="74" t="inlineStr">
        <is>
          <t>basketball_player_voxelised</t>
        </is>
      </c>
      <c r="Z60" s="74">
        <f>L15-Z15</f>
        <v/>
      </c>
      <c r="AA60" s="74">
        <f>M15-AA15</f>
        <v/>
      </c>
      <c r="AB60" s="74">
        <f>N15-AB15</f>
        <v/>
      </c>
      <c r="AC60" s="74">
        <f>O15-AC15</f>
        <v/>
      </c>
      <c r="AD60" s="74">
        <f>P15-AD15</f>
        <v/>
      </c>
      <c r="AE60" s="74">
        <f>Q15-AE15</f>
        <v/>
      </c>
      <c r="AF60" s="74">
        <f>R15-AF15</f>
        <v/>
      </c>
      <c r="AG60" s="74">
        <f>S15-AG15</f>
        <v/>
      </c>
      <c r="AH60" s="76">
        <f>T15-AH15</f>
        <v/>
      </c>
    </row>
    <row r="61">
      <c r="X61" s="91" t="n"/>
      <c r="Y61" s="75" t="inlineStr">
        <is>
          <t>basketball_player_voxelised</t>
        </is>
      </c>
      <c r="Z61" s="75">
        <f>L16-Z16</f>
        <v/>
      </c>
      <c r="AA61" s="75">
        <f>M16-AA16</f>
        <v/>
      </c>
      <c r="AB61" s="75">
        <f>N16-AB16</f>
        <v/>
      </c>
      <c r="AC61" s="75">
        <f>O16-AC16</f>
        <v/>
      </c>
      <c r="AD61" s="75">
        <f>P16-AD16</f>
        <v/>
      </c>
      <c r="AE61" s="75">
        <f>Q16-AE16</f>
        <v/>
      </c>
      <c r="AF61" s="75">
        <f>R16-AF16</f>
        <v/>
      </c>
      <c r="AG61" s="75">
        <f>S16-AG16</f>
        <v/>
      </c>
      <c r="AH61" s="77">
        <f>T16-AH16</f>
        <v/>
      </c>
    </row>
    <row r="62">
      <c r="X62" s="91" t="n"/>
      <c r="Y62" s="74" t="inlineStr">
        <is>
          <t>basketball_player_voxelised</t>
        </is>
      </c>
      <c r="Z62" s="74">
        <f>L17-Z17</f>
        <v/>
      </c>
      <c r="AA62" s="74">
        <f>M17-AA17</f>
        <v/>
      </c>
      <c r="AB62" s="74">
        <f>N17-AB17</f>
        <v/>
      </c>
      <c r="AC62" s="74">
        <f>O17-AC17</f>
        <v/>
      </c>
      <c r="AD62" s="74">
        <f>P17-AD17</f>
        <v/>
      </c>
      <c r="AE62" s="74">
        <f>Q17-AE17</f>
        <v/>
      </c>
      <c r="AF62" s="74">
        <f>R17-AF17</f>
        <v/>
      </c>
      <c r="AG62" s="74">
        <f>S17-AG17</f>
        <v/>
      </c>
      <c r="AH62" s="76">
        <f>T17-AH17</f>
        <v/>
      </c>
    </row>
    <row r="63">
      <c r="X63" s="91" t="n"/>
      <c r="Y63" s="75" t="inlineStr">
        <is>
          <t>basketball_player_voxelised</t>
        </is>
      </c>
      <c r="Z63" s="75">
        <f>L18-Z18</f>
        <v/>
      </c>
      <c r="AA63" s="75">
        <f>M18-AA18</f>
        <v/>
      </c>
      <c r="AB63" s="75">
        <f>N18-AB18</f>
        <v/>
      </c>
      <c r="AC63" s="75">
        <f>O18-AC18</f>
        <v/>
      </c>
      <c r="AD63" s="75">
        <f>P18-AD18</f>
        <v/>
      </c>
      <c r="AE63" s="75">
        <f>Q18-AE18</f>
        <v/>
      </c>
      <c r="AF63" s="75">
        <f>R18-AF18</f>
        <v/>
      </c>
      <c r="AG63" s="75">
        <f>S18-AG18</f>
        <v/>
      </c>
      <c r="AH63" s="77">
        <f>T18-AH18</f>
        <v/>
      </c>
    </row>
    <row r="64" ht="15.75" customHeight="1" s="5" thickBot="1">
      <c r="X64" s="91" t="n"/>
      <c r="Y64" s="49" t="inlineStr">
        <is>
          <t>basketball_player_voxelised</t>
        </is>
      </c>
      <c r="Z64" s="49">
        <f>L19-Z19</f>
        <v/>
      </c>
      <c r="AA64" s="49">
        <f>M19-AA19</f>
        <v/>
      </c>
      <c r="AB64" s="49">
        <f>N19-AB19</f>
        <v/>
      </c>
      <c r="AC64" s="49">
        <f>O19-AC19</f>
        <v/>
      </c>
      <c r="AD64" s="49">
        <f>P19-AD19</f>
        <v/>
      </c>
      <c r="AE64" s="49">
        <f>Q19-AE19</f>
        <v/>
      </c>
      <c r="AF64" s="49">
        <f>R19-AF19</f>
        <v/>
      </c>
      <c r="AG64" s="49">
        <f>S19-AG19</f>
        <v/>
      </c>
      <c r="AH64" s="78">
        <f>T19-AH19</f>
        <v/>
      </c>
    </row>
    <row r="65">
      <c r="X65" s="91" t="n"/>
      <c r="Y65" s="75" t="inlineStr">
        <is>
          <t>dancer_voxelised</t>
        </is>
      </c>
      <c r="Z65" s="75">
        <f>L20-Z20</f>
        <v/>
      </c>
      <c r="AA65" s="75">
        <f>M20-AA20</f>
        <v/>
      </c>
      <c r="AB65" s="75">
        <f>N20-AB20</f>
        <v/>
      </c>
      <c r="AC65" s="75">
        <f>O20-AC20</f>
        <v/>
      </c>
      <c r="AD65" s="75">
        <f>P20-AD20</f>
        <v/>
      </c>
      <c r="AE65" s="75">
        <f>Q20-AE20</f>
        <v/>
      </c>
      <c r="AF65" s="75">
        <f>R20-AF20</f>
        <v/>
      </c>
      <c r="AG65" s="75">
        <f>S20-AG20</f>
        <v/>
      </c>
      <c r="AH65" s="77">
        <f>T20-AH20</f>
        <v/>
      </c>
    </row>
    <row r="66">
      <c r="X66" s="91" t="n"/>
      <c r="Y66" s="74" t="inlineStr">
        <is>
          <t>dancer_voxelised</t>
        </is>
      </c>
      <c r="Z66" s="74">
        <f>L21-Z21</f>
        <v/>
      </c>
      <c r="AA66" s="74">
        <f>M21-AA21</f>
        <v/>
      </c>
      <c r="AB66" s="74">
        <f>N21-AB21</f>
        <v/>
      </c>
      <c r="AC66" s="74">
        <f>O21-AC21</f>
        <v/>
      </c>
      <c r="AD66" s="74">
        <f>P21-AD21</f>
        <v/>
      </c>
      <c r="AE66" s="74">
        <f>Q21-AE21</f>
        <v/>
      </c>
      <c r="AF66" s="74">
        <f>R21-AF21</f>
        <v/>
      </c>
      <c r="AG66" s="74">
        <f>S21-AG21</f>
        <v/>
      </c>
      <c r="AH66" s="76">
        <f>T21-AH21</f>
        <v/>
      </c>
    </row>
    <row r="67">
      <c r="X67" s="91" t="n"/>
      <c r="Y67" s="75" t="inlineStr">
        <is>
          <t>dancer_voxelised</t>
        </is>
      </c>
      <c r="Z67" s="75">
        <f>L22-Z22</f>
        <v/>
      </c>
      <c r="AA67" s="75">
        <f>M22-AA22</f>
        <v/>
      </c>
      <c r="AB67" s="75">
        <f>N22-AB22</f>
        <v/>
      </c>
      <c r="AC67" s="75">
        <f>O22-AC22</f>
        <v/>
      </c>
      <c r="AD67" s="75">
        <f>P22-AD22</f>
        <v/>
      </c>
      <c r="AE67" s="75">
        <f>Q22-AE22</f>
        <v/>
      </c>
      <c r="AF67" s="75">
        <f>R22-AF22</f>
        <v/>
      </c>
      <c r="AG67" s="75">
        <f>S22-AG22</f>
        <v/>
      </c>
      <c r="AH67" s="77">
        <f>T22-AH22</f>
        <v/>
      </c>
    </row>
    <row r="68">
      <c r="X68" s="91" t="n"/>
      <c r="Y68" s="74" t="inlineStr">
        <is>
          <t>dancer_voxelised</t>
        </is>
      </c>
      <c r="Z68" s="74">
        <f>L23-Z23</f>
        <v/>
      </c>
      <c r="AA68" s="74">
        <f>M23-AA23</f>
        <v/>
      </c>
      <c r="AB68" s="74">
        <f>N23-AB23</f>
        <v/>
      </c>
      <c r="AC68" s="74">
        <f>O23-AC23</f>
        <v/>
      </c>
      <c r="AD68" s="74">
        <f>P23-AD23</f>
        <v/>
      </c>
      <c r="AE68" s="74">
        <f>Q23-AE23</f>
        <v/>
      </c>
      <c r="AF68" s="74">
        <f>R23-AF23</f>
        <v/>
      </c>
      <c r="AG68" s="74">
        <f>S23-AG23</f>
        <v/>
      </c>
      <c r="AH68" s="76">
        <f>T23-AH23</f>
        <v/>
      </c>
    </row>
    <row r="69" ht="15.75" customHeight="1" s="5" thickBot="1">
      <c r="X69" s="92" t="n"/>
      <c r="Y69" s="26" t="inlineStr">
        <is>
          <t>dancer_voxelised</t>
        </is>
      </c>
      <c r="Z69" s="26">
        <f>L24-Z24</f>
        <v/>
      </c>
      <c r="AA69" s="26">
        <f>M24-AA24</f>
        <v/>
      </c>
      <c r="AB69" s="26">
        <f>N24-AB24</f>
        <v/>
      </c>
      <c r="AC69" s="26">
        <f>O24-AC24</f>
        <v/>
      </c>
      <c r="AD69" s="26">
        <f>P24-AD24</f>
        <v/>
      </c>
      <c r="AE69" s="26">
        <f>Q24-AE24</f>
        <v/>
      </c>
      <c r="AF69" s="26">
        <f>R24-AF24</f>
        <v/>
      </c>
      <c r="AG69" s="26">
        <f>S24-AG24</f>
        <v/>
      </c>
      <c r="AH69" s="79">
        <f>T24-AH24</f>
        <v/>
      </c>
    </row>
    <row r="70">
      <c r="X70" s="90" t="inlineStr">
        <is>
          <t>cat1-C</t>
        </is>
      </c>
      <c r="Y70" s="74" t="inlineStr">
        <is>
          <t>football_voxelised</t>
        </is>
      </c>
      <c r="Z70" s="74">
        <f>L25-Z25</f>
        <v/>
      </c>
      <c r="AA70" s="74">
        <f>M25-AA25</f>
        <v/>
      </c>
      <c r="AB70" s="74">
        <f>N25-AB25</f>
        <v/>
      </c>
      <c r="AC70" s="74">
        <f>O25-AC25</f>
        <v/>
      </c>
      <c r="AD70" s="74">
        <f>P25-AD25</f>
        <v/>
      </c>
      <c r="AE70" s="74">
        <f>Q25-AE25</f>
        <v/>
      </c>
      <c r="AF70" s="74">
        <f>R25-AF25</f>
        <v/>
      </c>
      <c r="AG70" s="74">
        <f>S25-AG25</f>
        <v/>
      </c>
      <c r="AH70" s="76">
        <f>T25-AH25</f>
        <v/>
      </c>
    </row>
    <row r="71">
      <c r="X71" s="91" t="n"/>
      <c r="Y71" s="75" t="inlineStr">
        <is>
          <t>football_voxelised</t>
        </is>
      </c>
      <c r="Z71" s="75">
        <f>L26-Z26</f>
        <v/>
      </c>
      <c r="AA71" s="75">
        <f>M26-AA26</f>
        <v/>
      </c>
      <c r="AB71" s="75">
        <f>N26-AB26</f>
        <v/>
      </c>
      <c r="AC71" s="75">
        <f>O26-AC26</f>
        <v/>
      </c>
      <c r="AD71" s="75">
        <f>P26-AD26</f>
        <v/>
      </c>
      <c r="AE71" s="75">
        <f>Q26-AE26</f>
        <v/>
      </c>
      <c r="AF71" s="75">
        <f>R26-AF26</f>
        <v/>
      </c>
      <c r="AG71" s="75">
        <f>S26-AG26</f>
        <v/>
      </c>
      <c r="AH71" s="77">
        <f>T26-AH26</f>
        <v/>
      </c>
    </row>
    <row r="72">
      <c r="X72" s="91" t="n"/>
      <c r="Y72" s="74" t="inlineStr">
        <is>
          <t>football_voxelised</t>
        </is>
      </c>
      <c r="Z72" s="74">
        <f>L27-Z27</f>
        <v/>
      </c>
      <c r="AA72" s="74">
        <f>M27-AA27</f>
        <v/>
      </c>
      <c r="AB72" s="74">
        <f>N27-AB27</f>
        <v/>
      </c>
      <c r="AC72" s="74">
        <f>O27-AC27</f>
        <v/>
      </c>
      <c r="AD72" s="74">
        <f>P27-AD27</f>
        <v/>
      </c>
      <c r="AE72" s="74">
        <f>Q27-AE27</f>
        <v/>
      </c>
      <c r="AF72" s="74">
        <f>R27-AF27</f>
        <v/>
      </c>
      <c r="AG72" s="74">
        <f>S27-AG27</f>
        <v/>
      </c>
      <c r="AH72" s="76">
        <f>T27-AH27</f>
        <v/>
      </c>
    </row>
    <row r="73">
      <c r="X73" s="91" t="n"/>
      <c r="Y73" s="75" t="inlineStr">
        <is>
          <t>football_voxelised</t>
        </is>
      </c>
      <c r="Z73" s="75">
        <f>L28-Z28</f>
        <v/>
      </c>
      <c r="AA73" s="75">
        <f>M28-AA28</f>
        <v/>
      </c>
      <c r="AB73" s="75">
        <f>N28-AB28</f>
        <v/>
      </c>
      <c r="AC73" s="75">
        <f>O28-AC28</f>
        <v/>
      </c>
      <c r="AD73" s="75">
        <f>P28-AD28</f>
        <v/>
      </c>
      <c r="AE73" s="75">
        <f>Q28-AE28</f>
        <v/>
      </c>
      <c r="AF73" s="75">
        <f>R28-AF28</f>
        <v/>
      </c>
      <c r="AG73" s="75">
        <f>S28-AG28</f>
        <v/>
      </c>
      <c r="AH73" s="77">
        <f>T28-AH28</f>
        <v/>
      </c>
    </row>
    <row r="74" ht="15.75" customHeight="1" s="5" thickBot="1">
      <c r="X74" s="91" t="n"/>
      <c r="Y74" s="49" t="inlineStr">
        <is>
          <t>football_voxelised</t>
        </is>
      </c>
      <c r="Z74" s="49">
        <f>L29-Z29</f>
        <v/>
      </c>
      <c r="AA74" s="49">
        <f>M29-AA29</f>
        <v/>
      </c>
      <c r="AB74" s="49">
        <f>N29-AB29</f>
        <v/>
      </c>
      <c r="AC74" s="49">
        <f>O29-AC29</f>
        <v/>
      </c>
      <c r="AD74" s="49">
        <f>P29-AD29</f>
        <v/>
      </c>
      <c r="AE74" s="49">
        <f>Q29-AE29</f>
        <v/>
      </c>
      <c r="AF74" s="49">
        <f>R29-AF29</f>
        <v/>
      </c>
      <c r="AG74" s="49">
        <f>S29-AG29</f>
        <v/>
      </c>
      <c r="AH74" s="78">
        <f>T29-AH29</f>
        <v/>
      </c>
    </row>
    <row r="75">
      <c r="X75" s="91" t="n"/>
      <c r="Y75" s="75" t="inlineStr">
        <is>
          <t>levi_voxelised</t>
        </is>
      </c>
      <c r="Z75" s="75">
        <f>L30-Z30</f>
        <v/>
      </c>
      <c r="AA75" s="75">
        <f>M30-AA30</f>
        <v/>
      </c>
      <c r="AB75" s="75">
        <f>N30-AB30</f>
        <v/>
      </c>
      <c r="AC75" s="75">
        <f>O30-AC30</f>
        <v/>
      </c>
      <c r="AD75" s="75">
        <f>P30-AD30</f>
        <v/>
      </c>
      <c r="AE75" s="75">
        <f>Q30-AE30</f>
        <v/>
      </c>
      <c r="AF75" s="75">
        <f>R30-AF30</f>
        <v/>
      </c>
      <c r="AG75" s="75">
        <f>S30-AG30</f>
        <v/>
      </c>
      <c r="AH75" s="77">
        <f>T30-AH30</f>
        <v/>
      </c>
    </row>
    <row r="76">
      <c r="X76" s="91" t="n"/>
      <c r="Y76" s="74" t="inlineStr">
        <is>
          <t>levi_voxelised</t>
        </is>
      </c>
      <c r="Z76" s="74">
        <f>L31-Z31</f>
        <v/>
      </c>
      <c r="AA76" s="74">
        <f>M31-AA31</f>
        <v/>
      </c>
      <c r="AB76" s="74">
        <f>N31-AB31</f>
        <v/>
      </c>
      <c r="AC76" s="74">
        <f>O31-AC31</f>
        <v/>
      </c>
      <c r="AD76" s="74">
        <f>P31-AD31</f>
        <v/>
      </c>
      <c r="AE76" s="74">
        <f>Q31-AE31</f>
        <v/>
      </c>
      <c r="AF76" s="74">
        <f>R31-AF31</f>
        <v/>
      </c>
      <c r="AG76" s="74">
        <f>S31-AG31</f>
        <v/>
      </c>
      <c r="AH76" s="76">
        <f>T31-AH31</f>
        <v/>
      </c>
    </row>
    <row r="77">
      <c r="X77" s="91" t="n"/>
      <c r="Y77" s="75" t="inlineStr">
        <is>
          <t>levi_voxelised</t>
        </is>
      </c>
      <c r="Z77" s="75">
        <f>L32-Z32</f>
        <v/>
      </c>
      <c r="AA77" s="75">
        <f>M32-AA32</f>
        <v/>
      </c>
      <c r="AB77" s="75">
        <f>N32-AB32</f>
        <v/>
      </c>
      <c r="AC77" s="75">
        <f>O32-AC32</f>
        <v/>
      </c>
      <c r="AD77" s="75">
        <f>P32-AD32</f>
        <v/>
      </c>
      <c r="AE77" s="75">
        <f>Q32-AE32</f>
        <v/>
      </c>
      <c r="AF77" s="75">
        <f>R32-AF32</f>
        <v/>
      </c>
      <c r="AG77" s="75">
        <f>S32-AG32</f>
        <v/>
      </c>
      <c r="AH77" s="77">
        <f>T32-AH32</f>
        <v/>
      </c>
    </row>
    <row r="78">
      <c r="X78" s="91" t="n"/>
      <c r="Y78" s="74" t="inlineStr">
        <is>
          <t>levi_voxelised</t>
        </is>
      </c>
      <c r="Z78" s="74">
        <f>L33-Z33</f>
        <v/>
      </c>
      <c r="AA78" s="74">
        <f>M33-AA33</f>
        <v/>
      </c>
      <c r="AB78" s="74">
        <f>N33-AB33</f>
        <v/>
      </c>
      <c r="AC78" s="74">
        <f>O33-AC33</f>
        <v/>
      </c>
      <c r="AD78" s="74">
        <f>P33-AD33</f>
        <v/>
      </c>
      <c r="AE78" s="74">
        <f>Q33-AE33</f>
        <v/>
      </c>
      <c r="AF78" s="74">
        <f>R33-AF33</f>
        <v/>
      </c>
      <c r="AG78" s="74">
        <f>S33-AG33</f>
        <v/>
      </c>
      <c r="AH78" s="76">
        <f>T33-AH33</f>
        <v/>
      </c>
    </row>
    <row r="79" ht="15.75" customHeight="1" s="5" thickBot="1">
      <c r="X79" s="91" t="n"/>
      <c r="Y79" s="26" t="inlineStr">
        <is>
          <t>levi_voxelised</t>
        </is>
      </c>
      <c r="Z79" s="26">
        <f>L34-Z34</f>
        <v/>
      </c>
      <c r="AA79" s="26">
        <f>M34-AA34</f>
        <v/>
      </c>
      <c r="AB79" s="26">
        <f>N34-AB34</f>
        <v/>
      </c>
      <c r="AC79" s="26">
        <f>O34-AC34</f>
        <v/>
      </c>
      <c r="AD79" s="26">
        <f>P34-AD34</f>
        <v/>
      </c>
      <c r="AE79" s="26">
        <f>Q34-AE34</f>
        <v/>
      </c>
      <c r="AF79" s="26">
        <f>R34-AF34</f>
        <v/>
      </c>
      <c r="AG79" s="26">
        <f>S34-AG34</f>
        <v/>
      </c>
      <c r="AH79" s="79">
        <f>T34-AH34</f>
        <v/>
      </c>
    </row>
    <row r="80">
      <c r="X80" s="91" t="n"/>
      <c r="Y80" s="74" t="inlineStr">
        <is>
          <t>mitch_voxelised</t>
        </is>
      </c>
      <c r="Z80" s="74">
        <f>L35-Z35</f>
        <v/>
      </c>
      <c r="AA80" s="74">
        <f>M35-AA35</f>
        <v/>
      </c>
      <c r="AB80" s="74">
        <f>N35-AB35</f>
        <v/>
      </c>
      <c r="AC80" s="74">
        <f>O35-AC35</f>
        <v/>
      </c>
      <c r="AD80" s="74">
        <f>P35-AD35</f>
        <v/>
      </c>
      <c r="AE80" s="74">
        <f>Q35-AE35</f>
        <v/>
      </c>
      <c r="AF80" s="74">
        <f>R35-AF35</f>
        <v/>
      </c>
      <c r="AG80" s="74">
        <f>S35-AG35</f>
        <v/>
      </c>
      <c r="AH80" s="76">
        <f>T35-AH35</f>
        <v/>
      </c>
    </row>
    <row r="81">
      <c r="X81" s="91" t="n"/>
      <c r="Y81" s="75" t="inlineStr">
        <is>
          <t>mitch_voxelised</t>
        </is>
      </c>
      <c r="Z81" s="75">
        <f>L36-Z36</f>
        <v/>
      </c>
      <c r="AA81" s="75">
        <f>M36-AA36</f>
        <v/>
      </c>
      <c r="AB81" s="75">
        <f>N36-AB36</f>
        <v/>
      </c>
      <c r="AC81" s="75">
        <f>O36-AC36</f>
        <v/>
      </c>
      <c r="AD81" s="75">
        <f>P36-AD36</f>
        <v/>
      </c>
      <c r="AE81" s="75">
        <f>Q36-AE36</f>
        <v/>
      </c>
      <c r="AF81" s="75">
        <f>R36-AF36</f>
        <v/>
      </c>
      <c r="AG81" s="75">
        <f>S36-AG36</f>
        <v/>
      </c>
      <c r="AH81" s="77">
        <f>T36-AH36</f>
        <v/>
      </c>
    </row>
    <row r="82">
      <c r="X82" s="91" t="n"/>
      <c r="Y82" s="74" t="inlineStr">
        <is>
          <t>mitch_voxelised</t>
        </is>
      </c>
      <c r="Z82" s="74">
        <f>L37-Z37</f>
        <v/>
      </c>
      <c r="AA82" s="74">
        <f>M37-AA37</f>
        <v/>
      </c>
      <c r="AB82" s="74">
        <f>N37-AB37</f>
        <v/>
      </c>
      <c r="AC82" s="74">
        <f>O37-AC37</f>
        <v/>
      </c>
      <c r="AD82" s="74">
        <f>P37-AD37</f>
        <v/>
      </c>
      <c r="AE82" s="74">
        <f>Q37-AE37</f>
        <v/>
      </c>
      <c r="AF82" s="74">
        <f>R37-AF37</f>
        <v/>
      </c>
      <c r="AG82" s="74">
        <f>S37-AG37</f>
        <v/>
      </c>
      <c r="AH82" s="76">
        <f>T37-AH37</f>
        <v/>
      </c>
    </row>
    <row r="83">
      <c r="X83" s="91" t="n"/>
      <c r="Y83" s="75" t="inlineStr">
        <is>
          <t>mitch_voxelised</t>
        </is>
      </c>
      <c r="Z83" s="75">
        <f>L38-Z38</f>
        <v/>
      </c>
      <c r="AA83" s="75">
        <f>M38-AA38</f>
        <v/>
      </c>
      <c r="AB83" s="75">
        <f>N38-AB38</f>
        <v/>
      </c>
      <c r="AC83" s="75">
        <f>O38-AC38</f>
        <v/>
      </c>
      <c r="AD83" s="75">
        <f>P38-AD38</f>
        <v/>
      </c>
      <c r="AE83" s="75">
        <f>Q38-AE38</f>
        <v/>
      </c>
      <c r="AF83" s="75">
        <f>R38-AF38</f>
        <v/>
      </c>
      <c r="AG83" s="75">
        <f>S38-AG38</f>
        <v/>
      </c>
      <c r="AH83" s="77">
        <f>T38-AH38</f>
        <v/>
      </c>
    </row>
    <row r="84" ht="15.75" customHeight="1" s="5" thickBot="1">
      <c r="X84" s="91" t="n"/>
      <c r="Y84" s="49" t="inlineStr">
        <is>
          <t>mitch_voxelised</t>
        </is>
      </c>
      <c r="Z84" s="49">
        <f>L39-Z39</f>
        <v/>
      </c>
      <c r="AA84" s="49">
        <f>M39-AA39</f>
        <v/>
      </c>
      <c r="AB84" s="49">
        <f>N39-AB39</f>
        <v/>
      </c>
      <c r="AC84" s="49">
        <f>O39-AC39</f>
        <v/>
      </c>
      <c r="AD84" s="49">
        <f>P39-AD39</f>
        <v/>
      </c>
      <c r="AE84" s="49">
        <f>Q39-AE39</f>
        <v/>
      </c>
      <c r="AF84" s="49">
        <f>R39-AF39</f>
        <v/>
      </c>
      <c r="AG84" s="49">
        <f>S39-AG39</f>
        <v/>
      </c>
      <c r="AH84" s="78">
        <f>T39-AH39</f>
        <v/>
      </c>
    </row>
    <row r="85">
      <c r="X85" s="91" t="n"/>
      <c r="Y85" s="75" t="inlineStr">
        <is>
          <t>thomas_voxelised</t>
        </is>
      </c>
      <c r="Z85" s="75">
        <f>L40-Z40</f>
        <v/>
      </c>
      <c r="AA85" s="75">
        <f>M40-AA40</f>
        <v/>
      </c>
      <c r="AB85" s="75">
        <f>N40-AB40</f>
        <v/>
      </c>
      <c r="AC85" s="75">
        <f>O40-AC40</f>
        <v/>
      </c>
      <c r="AD85" s="75">
        <f>P40-AD40</f>
        <v/>
      </c>
      <c r="AE85" s="75">
        <f>Q40-AE40</f>
        <v/>
      </c>
      <c r="AF85" s="75">
        <f>R40-AF40</f>
        <v/>
      </c>
      <c r="AG85" s="75">
        <f>S40-AG40</f>
        <v/>
      </c>
      <c r="AH85" s="77">
        <f>T40-AH40</f>
        <v/>
      </c>
    </row>
    <row r="86">
      <c r="X86" s="91" t="n"/>
      <c r="Y86" s="74" t="inlineStr">
        <is>
          <t>thomas_voxelised</t>
        </is>
      </c>
      <c r="Z86" s="74">
        <f>L41-Z41</f>
        <v/>
      </c>
      <c r="AA86" s="74">
        <f>M41-AA41</f>
        <v/>
      </c>
      <c r="AB86" s="74">
        <f>N41-AB41</f>
        <v/>
      </c>
      <c r="AC86" s="74">
        <f>O41-AC41</f>
        <v/>
      </c>
      <c r="AD86" s="74">
        <f>P41-AD41</f>
        <v/>
      </c>
      <c r="AE86" s="74">
        <f>Q41-AE41</f>
        <v/>
      </c>
      <c r="AF86" s="74">
        <f>R41-AF41</f>
        <v/>
      </c>
      <c r="AG86" s="74">
        <f>S41-AG41</f>
        <v/>
      </c>
      <c r="AH86" s="76">
        <f>T41-AH41</f>
        <v/>
      </c>
    </row>
    <row r="87">
      <c r="X87" s="91" t="n"/>
      <c r="Y87" s="75" t="inlineStr">
        <is>
          <t>thomas_voxelised</t>
        </is>
      </c>
      <c r="Z87" s="75">
        <f>L42-Z42</f>
        <v/>
      </c>
      <c r="AA87" s="75">
        <f>M42-AA42</f>
        <v/>
      </c>
      <c r="AB87" s="75">
        <f>N42-AB42</f>
        <v/>
      </c>
      <c r="AC87" s="75">
        <f>O42-AC42</f>
        <v/>
      </c>
      <c r="AD87" s="75">
        <f>P42-AD42</f>
        <v/>
      </c>
      <c r="AE87" s="75">
        <f>Q42-AE42</f>
        <v/>
      </c>
      <c r="AF87" s="75">
        <f>R42-AF42</f>
        <v/>
      </c>
      <c r="AG87" s="75">
        <f>S42-AG42</f>
        <v/>
      </c>
      <c r="AH87" s="77">
        <f>T42-AH42</f>
        <v/>
      </c>
    </row>
    <row r="88">
      <c r="X88" s="91" t="n"/>
      <c r="Y88" s="74" t="inlineStr">
        <is>
          <t>thomas_voxelised</t>
        </is>
      </c>
      <c r="Z88" s="74">
        <f>L43-Z43</f>
        <v/>
      </c>
      <c r="AA88" s="74">
        <f>M43-AA43</f>
        <v/>
      </c>
      <c r="AB88" s="74">
        <f>N43-AB43</f>
        <v/>
      </c>
      <c r="AC88" s="74">
        <f>O43-AC43</f>
        <v/>
      </c>
      <c r="AD88" s="74">
        <f>P43-AD43</f>
        <v/>
      </c>
      <c r="AE88" s="74">
        <f>Q43-AE43</f>
        <v/>
      </c>
      <c r="AF88" s="74">
        <f>R43-AF43</f>
        <v/>
      </c>
      <c r="AG88" s="74">
        <f>S43-AG43</f>
        <v/>
      </c>
      <c r="AH88" s="76">
        <f>T43-AH43</f>
        <v/>
      </c>
    </row>
    <row r="89" ht="15.75" customHeight="1" s="5" thickBot="1">
      <c r="X89" s="92" t="n"/>
      <c r="Y89" s="26" t="inlineStr">
        <is>
          <t>thomas_voxelised</t>
        </is>
      </c>
      <c r="Z89" s="26">
        <f>L44-Z44</f>
        <v/>
      </c>
      <c r="AA89" s="26">
        <f>M44-AA44</f>
        <v/>
      </c>
      <c r="AB89" s="26">
        <f>N44-AB44</f>
        <v/>
      </c>
      <c r="AC89" s="26">
        <f>O44-AC44</f>
        <v/>
      </c>
      <c r="AD89" s="26">
        <f>P44-AD44</f>
        <v/>
      </c>
      <c r="AE89" s="26">
        <f>Q44-AE44</f>
        <v/>
      </c>
      <c r="AF89" s="26">
        <f>R44-AF44</f>
        <v/>
      </c>
      <c r="AG89" s="26">
        <f>S44-AG44</f>
        <v/>
      </c>
      <c r="AH89" s="79">
        <f>T44-AH44</f>
        <v/>
      </c>
    </row>
  </sheetData>
  <mergeCells count="33">
    <mergeCell ref="X50:X59"/>
    <mergeCell ref="X60:X69"/>
    <mergeCell ref="X70:X8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X49:AH49"/>
  </mergeCells>
  <conditionalFormatting sqref="AL5 AL6 AL7 AL8 AL9 AL10 AL11 AL12 AL13 AL14 AL15 AL16 AL17 AL18 AL19 AL20 AL21 AL22 AL23 AL24 AL25 AL26 AL27 AL28 AL29 AL30 AL31 AL32 AL33 AL34 AL35 AL36 AL37 AL38 AL39 AL40 AL41 AL42 AL43 AL44 AL45 AL46 AL47 AL48">
    <cfRule type="cellIs" priority="3" operator="greaterThanOrEqual" dxfId="3">
      <formula>0.03</formula>
    </cfRule>
    <cfRule type="cellIs" priority="4" operator="lessThanOrEqual" dxfId="2">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priority="5" operator="greaterThanOrEqual" dxfId="3">
      <formula>0.03</formula>
    </cfRule>
    <cfRule type="cellIs" priority="6" operator="lessThanOrEqual" dxfId="2">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priority="13" operator="greaterThanOrEqual" dxfId="3">
      <formula>0.03</formula>
    </cfRule>
    <cfRule type="cellIs" priority="14" operator="lessThanOrEqual" dxfId="2">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priority="15" operator="greaterThanOrEqual" dxfId="3">
      <formula>0.03</formula>
    </cfRule>
    <cfRule type="cellIs" priority="16" operator="lessThanOrEqual" dxfId="2">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priority="7" operator="greaterThanOrEqual" dxfId="3">
      <formula>0.03</formula>
    </cfRule>
    <cfRule type="cellIs" priority="8" operator="lessThanOrEqual" dxfId="2">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priority="9" operator="greaterThanOrEqual" dxfId="3">
      <formula>0.03</formula>
    </cfRule>
    <cfRule type="cellIs" priority="10" operator="lessThanOrEqual" dxfId="2">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priority="11" operator="greaterThanOrEqual" dxfId="3">
      <formula>0.03</formula>
    </cfRule>
    <cfRule type="cellIs" priority="12" operator="lessThanOrEqual" dxfId="2">
      <formula>-0.03</formula>
    </cfRule>
  </conditionalFormatting>
  <conditionalFormatting sqref="J5:J45">
    <cfRule type="expression" priority="2" dxfId="0">
      <formula>OR(J5 &lt; H5 * 0.9, J5 &gt; H5)</formula>
    </cfRule>
  </conditionalFormatting>
  <conditionalFormatting sqref="X5:X45">
    <cfRule type="expression" priority="1" dxfId="0">
      <formula>OR(X5 &lt; H5 * 0.9, X5 &gt; H5)</formula>
    </cfRule>
  </conditionalFormatting>
  <pageMargins left="0.7" right="0.7" top="0.75" bottom="0.75" header="0.3" footer="0.3"/>
</worksheet>
</file>

<file path=xl/worksheets/sheet6.xml><?xml version="1.0" encoding="utf-8"?>
<worksheet xmlns="http://schemas.openxmlformats.org/spreadsheetml/2006/main">
  <sheetPr>
    <outlinePr summaryBelow="0"/>
    <pageSetUpPr/>
  </sheetPr>
  <dimension ref="A1:AR89"/>
  <sheetViews>
    <sheetView tabSelected="1" zoomScale="80" zoomScaleNormal="80" workbookViewId="0">
      <pane xSplit="2" ySplit="4" topLeftCell="I14" activePane="bottomRight" state="frozen"/>
      <selection pane="topRight" activeCell="C1" sqref="C1"/>
      <selection pane="bottomLeft" activeCell="A5" sqref="A5"/>
      <selection pane="bottomRight" activeCell="S48" sqref="S48"/>
    </sheetView>
  </sheetViews>
  <sheetFormatPr baseColWidth="8" defaultColWidth="9.140625" defaultRowHeight="15" outlineLevelRow="1"/>
  <cols>
    <col width="24.7109375" customWidth="1" style="5" min="2" max="2"/>
    <col width="10.7109375" customWidth="1" style="5" min="4" max="5"/>
    <col width="1.7109375" customWidth="1" style="5" min="9" max="9"/>
    <col width="10.7109375" customWidth="1" style="5" min="11" max="12"/>
    <col width="12.7109375" customWidth="1" style="5" min="13" max="13"/>
    <col width="11.7109375" customWidth="1" style="5" min="14" max="20"/>
    <col width="1.7109375" customWidth="1" style="5" min="23" max="23"/>
    <col width="10.7109375" customWidth="1" style="5" min="25" max="26"/>
    <col width="12.7109375" customWidth="1" style="5" min="27" max="27"/>
    <col width="11.7109375" customWidth="1" style="5" min="28" max="34"/>
    <col width="1.7109375" customWidth="1" style="5" min="37" max="37"/>
    <col width="11.7109375" customWidth="1" style="5" min="40" max="44"/>
    <col width="1.7109375" customWidth="1" style="5" min="45" max="45"/>
  </cols>
  <sheetData>
    <row r="1">
      <c r="A1" s="71" t="inlineStr">
        <is>
          <t>C2_ra — lossy geometry, lossy attributes [inter, random access]</t>
        </is>
      </c>
      <c r="J1" s="61">
        <f>Summary!C1</f>
        <v/>
      </c>
      <c r="X1" s="62">
        <f>Summary!C2</f>
        <v/>
      </c>
    </row>
    <row r="2" ht="30" customHeight="1" s="5">
      <c r="A2" s="70" t="inlineStr">
        <is>
          <t>Class</t>
        </is>
      </c>
      <c r="B2" s="69" t="inlineStr">
        <is>
          <t>Sequence</t>
        </is>
      </c>
      <c r="C2" s="70" t="inlineStr">
        <is>
          <t>Variant</t>
        </is>
      </c>
      <c r="D2" s="69" t="inlineStr">
        <is>
          <t>№ input faces</t>
        </is>
      </c>
      <c r="E2" s="70" t="inlineStr">
        <is>
          <t>Geometry precision [bits]</t>
        </is>
      </c>
      <c r="F2" s="69" t="inlineStr">
        <is>
          <t>№ frames</t>
        </is>
      </c>
      <c r="G2" s="70" t="inlineStr">
        <is>
          <t>Frame rate [fps]</t>
        </is>
      </c>
      <c r="H2" s="69" t="inlineStr">
        <is>
          <t>Target rate [Mbps]</t>
        </is>
      </c>
      <c r="J2" s="70" t="inlineStr">
        <is>
          <t>Rate [Mbps]</t>
        </is>
      </c>
      <c r="K2" s="69" t="inlineStr">
        <is>
          <t>Total Bits per input face [bpif]</t>
        </is>
      </c>
      <c r="L2" s="70" t="inlineStr">
        <is>
          <t>№ output faces</t>
        </is>
      </c>
      <c r="M2" s="69" t="inlineStr">
        <is>
          <t>Total Bitstream [bits]</t>
        </is>
      </c>
      <c r="N2" s="72" t="inlineStr">
        <is>
          <t>Pointcloud-based PSNR [dB]</t>
        </is>
      </c>
      <c r="S2" s="73" t="inlineStr">
        <is>
          <t>Image-based PSNR [dB]</t>
        </is>
      </c>
      <c r="U2" s="70" t="inlineStr">
        <is>
          <t>User Encoder runtime [s]</t>
        </is>
      </c>
      <c r="V2" s="69" t="inlineStr">
        <is>
          <t>User Decoder runtime [s]</t>
        </is>
      </c>
      <c r="X2" s="70" t="inlineStr">
        <is>
          <t>Rate [Mbps]</t>
        </is>
      </c>
      <c r="Y2" s="69" t="inlineStr">
        <is>
          <t>Total Bits per input face [bpif]</t>
        </is>
      </c>
      <c r="Z2" s="70" t="inlineStr">
        <is>
          <t>№ output faces</t>
        </is>
      </c>
      <c r="AA2" s="69" t="inlineStr">
        <is>
          <t>Total Bitstream [bits]</t>
        </is>
      </c>
      <c r="AB2" s="72" t="inlineStr">
        <is>
          <t>Pointcloud-based PSNR [dB]</t>
        </is>
      </c>
      <c r="AG2" s="73" t="inlineStr">
        <is>
          <t>Image-based PSNR [dB]</t>
        </is>
      </c>
      <c r="AI2" s="70" t="inlineStr">
        <is>
          <t>User Encoder runtime [s]</t>
        </is>
      </c>
      <c r="AJ2" s="69" t="inlineStr">
        <is>
          <t>User Decoder runtime [s]</t>
        </is>
      </c>
      <c r="AL2" s="72" t="inlineStr">
        <is>
          <t>Pointcloud-based BD‑Rate [%]</t>
        </is>
      </c>
      <c r="AQ2" s="73" t="inlineStr">
        <is>
          <t>Image-based BD‑Rate [%]</t>
        </is>
      </c>
    </row>
    <row r="3" ht="15.75" customHeight="1" s="5" thickBot="1">
      <c r="A3" s="10" t="n"/>
      <c r="B3" s="10" t="n"/>
      <c r="C3" s="10" t="n"/>
      <c r="D3" s="10" t="n"/>
      <c r="E3" s="10" t="n"/>
      <c r="F3" s="10" t="n"/>
      <c r="G3" s="10" t="n"/>
      <c r="H3" s="10" t="n"/>
      <c r="J3" s="10" t="n"/>
      <c r="K3" s="10" t="n"/>
      <c r="L3" s="10" t="n"/>
      <c r="M3" s="10" t="n"/>
      <c r="N3" s="70" t="inlineStr">
        <is>
          <t>D1</t>
        </is>
      </c>
      <c r="O3" s="70" t="inlineStr">
        <is>
          <t>D2</t>
        </is>
      </c>
      <c r="P3" s="70" t="inlineStr">
        <is>
          <t>Luma</t>
        </is>
      </c>
      <c r="Q3" s="70" t="inlineStr">
        <is>
          <t>Chroma Cb</t>
        </is>
      </c>
      <c r="R3" s="70" t="inlineStr">
        <is>
          <t>Chroma Cr</t>
        </is>
      </c>
      <c r="S3" s="69" t="inlineStr">
        <is>
          <t>Geom</t>
        </is>
      </c>
      <c r="T3" s="69" t="inlineStr">
        <is>
          <t>Luma</t>
        </is>
      </c>
      <c r="U3" s="10" t="n"/>
      <c r="V3" s="10" t="n"/>
      <c r="X3" s="10" t="n"/>
      <c r="Y3" s="10" t="n"/>
      <c r="Z3" s="10" t="n"/>
      <c r="AA3" s="10" t="n"/>
      <c r="AB3" s="70" t="inlineStr">
        <is>
          <t>D1</t>
        </is>
      </c>
      <c r="AC3" s="70" t="inlineStr">
        <is>
          <t>D2</t>
        </is>
      </c>
      <c r="AD3" s="70" t="inlineStr">
        <is>
          <t>Luma</t>
        </is>
      </c>
      <c r="AE3" s="70" t="inlineStr">
        <is>
          <t>Chroma Cb</t>
        </is>
      </c>
      <c r="AF3" s="70" t="inlineStr">
        <is>
          <t>Chroma Cr</t>
        </is>
      </c>
      <c r="AG3" s="69" t="inlineStr">
        <is>
          <t>Geom</t>
        </is>
      </c>
      <c r="AH3" s="69" t="inlineStr">
        <is>
          <t>Luma</t>
        </is>
      </c>
      <c r="AI3" s="10" t="n"/>
      <c r="AJ3" s="10" t="n"/>
      <c r="AL3" s="70" t="inlineStr">
        <is>
          <t>D1</t>
        </is>
      </c>
      <c r="AM3" s="70" t="inlineStr">
        <is>
          <t>D2</t>
        </is>
      </c>
      <c r="AN3" s="70" t="inlineStr">
        <is>
          <t>Luma</t>
        </is>
      </c>
      <c r="AO3" s="70" t="inlineStr">
        <is>
          <t>Chroma Cb</t>
        </is>
      </c>
      <c r="AP3" s="70" t="inlineStr">
        <is>
          <t>Chroma Cr</t>
        </is>
      </c>
      <c r="AQ3" s="69" t="inlineStr">
        <is>
          <t>Geom</t>
        </is>
      </c>
      <c r="AR3" s="69" t="inlineStr">
        <is>
          <t>Luma</t>
        </is>
      </c>
    </row>
    <row r="4" hidden="1" ht="53.25" customHeight="1" s="5">
      <c r="A4" s="16" t="inlineStr">
        <is>
          <t>class</t>
        </is>
      </c>
      <c r="B4" s="17" t="inlineStr">
        <is>
          <t>sequence</t>
        </is>
      </c>
      <c r="C4" s="16" t="inlineStr">
        <is>
          <t>variant</t>
        </is>
      </c>
      <c r="D4" s="17" t="inlineStr">
        <is>
          <t>src.numfaces</t>
        </is>
      </c>
      <c r="E4" s="16" t="inlineStr">
        <is>
          <t>src.geometry-precision</t>
        </is>
      </c>
      <c r="F4" s="17" t="inlineStr">
        <is>
          <t>src.framecount</t>
        </is>
      </c>
      <c r="G4" s="16" t="inlineStr">
        <is>
          <t>src.framerate</t>
        </is>
      </c>
      <c r="H4" s="17" t="inlineStr">
        <is>
          <t>ctc.targetrate</t>
        </is>
      </c>
      <c r="J4" s="16" t="inlineStr">
        <is>
          <t>A.eqn.bitrate</t>
        </is>
      </c>
      <c r="K4" s="17" t="inlineStr">
        <is>
          <t>A.eqn.bpf</t>
        </is>
      </c>
      <c r="L4" s="16" t="inlineStr">
        <is>
          <t>A.dec.numfaces</t>
        </is>
      </c>
      <c r="M4" s="17" t="inlineStr">
        <is>
          <t>A.enc.ext.bits</t>
        </is>
      </c>
      <c r="N4" s="16" t="inlineStr">
        <is>
          <t>A.dec.pc-d1-psnr</t>
        </is>
      </c>
      <c r="O4" s="16" t="inlineStr">
        <is>
          <t>A.dec.pc-d2-psnr</t>
        </is>
      </c>
      <c r="P4" s="16" t="inlineStr">
        <is>
          <t>A.dec.pc-y-psnr</t>
        </is>
      </c>
      <c r="Q4" s="16" t="inlineStr">
        <is>
          <t>A.dec.pc-cb-psnr</t>
        </is>
      </c>
      <c r="R4" s="16" t="inlineStr">
        <is>
          <t>A.dec.pc-cr-psnr</t>
        </is>
      </c>
      <c r="S4" s="17" t="inlineStr">
        <is>
          <t>A.dec.img-geom-psnr</t>
        </is>
      </c>
      <c r="T4" s="17" t="inlineStr">
        <is>
          <t>A.dec.img-y-psnr</t>
        </is>
      </c>
      <c r="U4" s="16" t="inlineStr">
        <is>
          <t>A.enc.utime</t>
        </is>
      </c>
      <c r="V4" s="17" t="inlineStr">
        <is>
          <t>A.dec.utime</t>
        </is>
      </c>
      <c r="X4" s="16" t="inlineStr">
        <is>
          <t>B.eqn.bitrate</t>
        </is>
      </c>
      <c r="Y4" s="17" t="inlineStr">
        <is>
          <t>B.eqn.bpf</t>
        </is>
      </c>
      <c r="Z4" s="16" t="inlineStr">
        <is>
          <t>B.dec.numfaces</t>
        </is>
      </c>
      <c r="AA4" s="17" t="inlineStr">
        <is>
          <t>B.enc.ext.bits</t>
        </is>
      </c>
      <c r="AB4" s="16" t="inlineStr">
        <is>
          <t>B.dec.pc-d1-psnr</t>
        </is>
      </c>
      <c r="AC4" s="16" t="inlineStr">
        <is>
          <t>B.dec.pc-d2-psnr</t>
        </is>
      </c>
      <c r="AD4" s="16" t="inlineStr">
        <is>
          <t>B.dec.pc-y-psnr</t>
        </is>
      </c>
      <c r="AE4" s="16" t="inlineStr">
        <is>
          <t>B.dec.pc-cb-psnr</t>
        </is>
      </c>
      <c r="AF4" s="16" t="inlineStr">
        <is>
          <t>B.dec.pc-cr-psnr</t>
        </is>
      </c>
      <c r="AG4" s="17" t="inlineStr">
        <is>
          <t>B.dec.img-geom-psnr</t>
        </is>
      </c>
      <c r="AH4" s="17" t="inlineStr">
        <is>
          <t>B.dec.img-y-psnr</t>
        </is>
      </c>
      <c r="AI4" s="16" t="inlineStr">
        <is>
          <t>B.enc.utime</t>
        </is>
      </c>
      <c r="AJ4" s="17" t="inlineStr">
        <is>
          <t>B.dec.utime</t>
        </is>
      </c>
      <c r="AL4" s="16" t="inlineStr">
        <is>
          <t>eqn.ab.bdrate-pc-d1</t>
        </is>
      </c>
      <c r="AM4" s="16" t="inlineStr">
        <is>
          <t>eqn.ab.bdrate-pc-d2</t>
        </is>
      </c>
      <c r="AN4" s="16" t="inlineStr">
        <is>
          <t>eqn.ab.bdrate-pc-y</t>
        </is>
      </c>
      <c r="AO4" s="16" t="inlineStr">
        <is>
          <t>eqn.ab.bdrate-pc-cb</t>
        </is>
      </c>
      <c r="AP4" s="16" t="inlineStr">
        <is>
          <t>eqn.ab.bdrate-pc-cr</t>
        </is>
      </c>
      <c r="AQ4" s="17" t="inlineStr">
        <is>
          <t>eqn.ab.bdrate-img-geom</t>
        </is>
      </c>
      <c r="AR4" s="17" t="inlineStr">
        <is>
          <t>eqn.ab.bdrate-img-y</t>
        </is>
      </c>
    </row>
    <row r="5">
      <c r="A5" s="74" t="inlineStr">
        <is>
          <t>cat1-A</t>
        </is>
      </c>
      <c r="B5" s="74" t="inlineStr">
        <is>
          <t>longdress_voxelised</t>
        </is>
      </c>
      <c r="C5" s="20" t="inlineStr">
        <is>
          <t>r01</t>
        </is>
      </c>
      <c r="D5" s="74" t="n">
        <v>11997440</v>
      </c>
      <c r="E5" s="19" t="n">
        <v>10</v>
      </c>
      <c r="F5" s="20" t="n">
        <v>4</v>
      </c>
      <c r="G5" s="20" t="n">
        <v>30</v>
      </c>
      <c r="H5" s="20" t="n">
        <v>4</v>
      </c>
      <c r="J5" s="21">
        <f>IF(OR(ISBLANK(M5),ISBLANK(G5)),"·",M5*G5/F5/1000000)</f>
        <v/>
      </c>
      <c r="K5" s="22">
        <f>IF(ISBLANK(M5),"·",M5/D5)</f>
        <v/>
      </c>
      <c r="L5" s="45" t="n">
        <v>298112</v>
      </c>
      <c r="M5" s="23" t="n">
        <v>499944</v>
      </c>
      <c r="N5" s="46" t="n">
        <v>68.3448909</v>
      </c>
      <c r="O5" s="46" t="n">
        <v>70.1634565</v>
      </c>
      <c r="P5" s="46" t="n">
        <v>26.9344037</v>
      </c>
      <c r="Q5" s="46" t="n">
        <v>32.9317338</v>
      </c>
      <c r="R5" s="46" t="n">
        <v>32.3276864</v>
      </c>
      <c r="S5" s="46" t="n">
        <v>49.5407733</v>
      </c>
      <c r="T5" s="46" t="n">
        <v>26.2205161</v>
      </c>
      <c r="U5" s="24" t="n">
        <v>110.574353</v>
      </c>
      <c r="V5" s="24" t="n">
        <v>1.36054731</v>
      </c>
      <c r="X5" s="21">
        <f>IF(OR(ISBLANK(AA5),ISBLANK(G5)),"·",AA5*G5/F5/1000000)</f>
        <v/>
      </c>
      <c r="Y5" s="22">
        <f>IF(ISBLANK(AA5),"·",AA5/D5)</f>
        <v/>
      </c>
      <c r="Z5" s="45" t="n">
        <v>298112</v>
      </c>
      <c r="AA5" s="23" t="n">
        <v>298784</v>
      </c>
      <c r="AB5" s="46" t="n">
        <v>68.3448909</v>
      </c>
      <c r="AC5" s="46" t="n">
        <v>70.1634565</v>
      </c>
      <c r="AD5" s="46" t="n">
        <v>24.508122</v>
      </c>
      <c r="AE5" s="46" t="n">
        <v>30.8167057</v>
      </c>
      <c r="AF5" s="46" t="n">
        <v>29.9590088</v>
      </c>
      <c r="AG5" s="46" t="n">
        <v>49.5407733</v>
      </c>
      <c r="AH5" s="46" t="n">
        <v>24.2090841</v>
      </c>
      <c r="AI5" s="24" t="n">
        <v>99.79895759999999</v>
      </c>
      <c r="AJ5" s="24" t="n">
        <v>1.02585114</v>
      </c>
      <c r="AL5" s="25">
        <f t="array" ref="AL5">IF( OR(AND(ISBLANK(M5:M9)),AND(ISBLANK(AA5:AA9)), AND(ISBLANK(N5:N9)),AND(ISBLANK(AB5:AB9))), "·", bdRateExtend( M5:M9,N5:N9, AA5:AA9,AB5:AB9))</f>
        <v/>
      </c>
      <c r="AM5" s="25">
        <f t="array" ref="AM5">IF( OR(AND(ISBLANK(M5:M9)),AND(ISBLANK(AA5:AA9)), AND(ISBLANK(O5:O9)),AND(ISBLANK(AC5:AC9))), "·", bdRateExtend( M5:M9,O5:O9, AA5:AA9,AC5:AC9))</f>
        <v/>
      </c>
      <c r="AN5" s="25">
        <f t="array" ref="AN5">IF( OR(AND(ISBLANK(M5:M9)),AND(ISBLANK(AA5:AA9)), AND(ISBLANK(P5:P9)),AND(ISBLANK(AD5:AD9))), "·", bdRateExtend( M5:M9,P5:P9, AA5:AA9,AD5:AD9))</f>
        <v/>
      </c>
      <c r="AO5" s="25">
        <f t="array" ref="AO5">IF( OR(AND(ISBLANK(M5:M9)),AND(ISBLANK(AA5:AA9)), AND(ISBLANK(Q5:Q9)),AND(ISBLANK(AE5:AE9))), "·", bdRateExtend( M5:M9,Q5:Q9, AA5:AA9,AE5:AE9))</f>
        <v/>
      </c>
      <c r="AP5" s="25">
        <f t="array" ref="AP5">IF( OR(AND(ISBLANK(M5:M9)),AND(ISBLANK(AA5:AA9)), AND(ISBLANK(R5:R9)),AND(ISBLANK(AF5:AF9))), "·", bdRateExtend( M5:M9,R5:R9, AA5:AA9,AF5:AF9))</f>
        <v/>
      </c>
      <c r="AQ5" s="25">
        <f t="array" ref="AQ5">IF( OR(AND(ISBLANK(M5:M9)),AND(ISBLANK(AA5:AA9)), AND(ISBLANK(S5:S9)),AND(ISBLANK(AG5:AG9))), "·", bdRateExtend( M5:M9,S5:S9, AA5:AA9,AG5:AG9))</f>
        <v/>
      </c>
      <c r="AR5" s="25">
        <f t="array" ref="AR5">IF( OR(AND(ISBLANK(M5:M9)),AND(ISBLANK(AA5:AA9)), AND(ISBLANK(T5:T9)),AND(ISBLANK(AH5:AH9))), "·", bdRateExtend( M5:M9,T5:T9, AA5:AA9,AH5:AH9))</f>
        <v/>
      </c>
    </row>
    <row r="6" outlineLevel="1" s="5">
      <c r="A6" s="75" t="n"/>
      <c r="B6" s="75" t="inlineStr">
        <is>
          <t>longdress_voxelised</t>
        </is>
      </c>
      <c r="C6" s="36" t="inlineStr">
        <is>
          <t>r02</t>
        </is>
      </c>
      <c r="D6" s="75" t="n">
        <v>11997440</v>
      </c>
      <c r="E6" s="35" t="n">
        <v>10</v>
      </c>
      <c r="F6" s="36" t="n">
        <v>4</v>
      </c>
      <c r="G6" s="36" t="n">
        <v>30</v>
      </c>
      <c r="H6" s="36" t="n">
        <v>8</v>
      </c>
      <c r="J6" s="37">
        <f>IF(OR(ISBLANK(M6),ISBLANK(G6)),"·",M6*G6/F6/1000000)</f>
        <v/>
      </c>
      <c r="K6" s="38">
        <f>IF(ISBLANK(M6),"·",M6/D6)</f>
        <v/>
      </c>
      <c r="L6" s="47" t="n">
        <v>605056</v>
      </c>
      <c r="M6" s="39" t="n">
        <v>1010576</v>
      </c>
      <c r="N6" s="48" t="n">
        <v>72.19045010000001</v>
      </c>
      <c r="O6" s="48" t="n">
        <v>74.98465040000001</v>
      </c>
      <c r="P6" s="48" t="n">
        <v>29.4546032</v>
      </c>
      <c r="Q6" s="48" t="n">
        <v>35.1955167</v>
      </c>
      <c r="R6" s="48" t="n">
        <v>34.8486784</v>
      </c>
      <c r="S6" s="48" t="n">
        <v>51.7983243</v>
      </c>
      <c r="T6" s="48" t="n">
        <v>28.6951804</v>
      </c>
      <c r="U6" s="40" t="n">
        <v>126.640417</v>
      </c>
      <c r="V6" s="40" t="n">
        <v>1.36223566</v>
      </c>
      <c r="X6" s="37">
        <f>IF(OR(ISBLANK(AA6),ISBLANK(G6)),"·",AA6*G6/F6/1000000)</f>
        <v/>
      </c>
      <c r="Y6" s="38">
        <f>IF(ISBLANK(AA6),"·",AA6/D6)</f>
        <v/>
      </c>
      <c r="Z6" s="47" t="n">
        <v>605056</v>
      </c>
      <c r="AA6" s="39" t="n">
        <v>609688</v>
      </c>
      <c r="AB6" s="48" t="n">
        <v>72.19045010000001</v>
      </c>
      <c r="AC6" s="48" t="n">
        <v>74.98465040000001</v>
      </c>
      <c r="AD6" s="48" t="n">
        <v>26.6146414</v>
      </c>
      <c r="AE6" s="48" t="n">
        <v>32.8618658</v>
      </c>
      <c r="AF6" s="48" t="n">
        <v>32.1343246</v>
      </c>
      <c r="AG6" s="48" t="n">
        <v>51.7983243</v>
      </c>
      <c r="AH6" s="48" t="n">
        <v>26.2960844</v>
      </c>
      <c r="AI6" s="40" t="n">
        <v>140.237373</v>
      </c>
      <c r="AJ6" s="40" t="n">
        <v>1.43090838</v>
      </c>
      <c r="AL6" s="41" t="n"/>
      <c r="AM6" s="41" t="n"/>
      <c r="AN6" s="41" t="n"/>
      <c r="AO6" s="41" t="n"/>
      <c r="AP6" s="41" t="n"/>
      <c r="AQ6" s="41" t="n"/>
      <c r="AR6" s="41" t="n"/>
    </row>
    <row r="7" outlineLevel="1" s="5">
      <c r="A7" s="74" t="n"/>
      <c r="B7" s="74" t="inlineStr">
        <is>
          <t>longdress_voxelised</t>
        </is>
      </c>
      <c r="C7" s="20" t="inlineStr">
        <is>
          <t>r03</t>
        </is>
      </c>
      <c r="D7" s="74" t="n">
        <v>11997440</v>
      </c>
      <c r="E7" s="19" t="n">
        <v>10</v>
      </c>
      <c r="F7" s="20" t="n">
        <v>4</v>
      </c>
      <c r="G7" s="20" t="n">
        <v>30</v>
      </c>
      <c r="H7" s="20" t="n">
        <v>11</v>
      </c>
      <c r="J7" s="21">
        <f>IF(OR(ISBLANK(M7),ISBLANK(G7)),"·",M7*G7/F7/1000000)</f>
        <v/>
      </c>
      <c r="K7" s="22">
        <f>IF(ISBLANK(M7),"·",M7/D7)</f>
        <v/>
      </c>
      <c r="L7" s="45" t="n">
        <v>605056</v>
      </c>
      <c r="M7" s="23" t="n">
        <v>1401064</v>
      </c>
      <c r="N7" s="46" t="n">
        <v>72.19045010000001</v>
      </c>
      <c r="O7" s="46" t="n">
        <v>74.98465040000001</v>
      </c>
      <c r="P7" s="46" t="n">
        <v>31.2487998</v>
      </c>
      <c r="Q7" s="46" t="n">
        <v>36.1484082</v>
      </c>
      <c r="R7" s="46" t="n">
        <v>35.8126642</v>
      </c>
      <c r="S7" s="46" t="n">
        <v>51.7983243</v>
      </c>
      <c r="T7" s="46" t="n">
        <v>30.0042148</v>
      </c>
      <c r="U7" s="24" t="n">
        <v>124.017861</v>
      </c>
      <c r="V7" s="24" t="n">
        <v>1.37065448</v>
      </c>
      <c r="X7" s="21">
        <f>IF(OR(ISBLANK(AA7),ISBLANK(G7)),"·",AA7*G7/F7/1000000)</f>
        <v/>
      </c>
      <c r="Y7" s="22">
        <f>IF(ISBLANK(AA7),"·",AA7/D7)</f>
        <v/>
      </c>
      <c r="Z7" s="45" t="n">
        <v>605056</v>
      </c>
      <c r="AA7" s="23" t="n">
        <v>798176</v>
      </c>
      <c r="AB7" s="46" t="n">
        <v>72.19045010000001</v>
      </c>
      <c r="AC7" s="46" t="n">
        <v>74.98465040000001</v>
      </c>
      <c r="AD7" s="46" t="n">
        <v>28.3880568</v>
      </c>
      <c r="AE7" s="46" t="n">
        <v>33.6517605</v>
      </c>
      <c r="AF7" s="46" t="n">
        <v>33.0227563</v>
      </c>
      <c r="AG7" s="46" t="n">
        <v>51.7983243</v>
      </c>
      <c r="AH7" s="46" t="n">
        <v>27.8399771</v>
      </c>
      <c r="AI7" s="24" t="n">
        <v>112.124231</v>
      </c>
      <c r="AJ7" s="24" t="n">
        <v>0.677488472</v>
      </c>
      <c r="AL7" s="25" t="n"/>
      <c r="AM7" s="25" t="n"/>
      <c r="AN7" s="25" t="n"/>
      <c r="AO7" s="25" t="n"/>
      <c r="AP7" s="25" t="n"/>
      <c r="AQ7" s="25" t="n"/>
      <c r="AR7" s="25" t="n"/>
    </row>
    <row r="8" outlineLevel="1" s="5">
      <c r="A8" s="75" t="n"/>
      <c r="B8" s="75" t="inlineStr">
        <is>
          <t>longdress_voxelised</t>
        </is>
      </c>
      <c r="C8" s="36" t="inlineStr">
        <is>
          <t>r04</t>
        </is>
      </c>
      <c r="D8" s="75" t="n">
        <v>11997440</v>
      </c>
      <c r="E8" s="35" t="n">
        <v>10</v>
      </c>
      <c r="F8" s="36" t="n">
        <v>4</v>
      </c>
      <c r="G8" s="36" t="n">
        <v>30</v>
      </c>
      <c r="H8" s="36" t="n">
        <v>14</v>
      </c>
      <c r="J8" s="37">
        <f>IF(OR(ISBLANK(M8),ISBLANK(G8)),"·",M8*G8/F8/1000000)</f>
        <v/>
      </c>
      <c r="K8" s="38">
        <f>IF(ISBLANK(M8),"·",M8/D8)</f>
        <v/>
      </c>
      <c r="L8" s="47" t="n">
        <v>611696</v>
      </c>
      <c r="M8" s="39" t="n">
        <v>1737816</v>
      </c>
      <c r="N8" s="48" t="n">
        <v>74.4788439</v>
      </c>
      <c r="O8" s="48" t="n">
        <v>78.3552296</v>
      </c>
      <c r="P8" s="48" t="n">
        <v>31.2898839</v>
      </c>
      <c r="Q8" s="48" t="n">
        <v>36.1121307</v>
      </c>
      <c r="R8" s="48" t="n">
        <v>35.828423</v>
      </c>
      <c r="S8" s="48" t="n">
        <v>53.4348809</v>
      </c>
      <c r="T8" s="48" t="n">
        <v>30.4955606</v>
      </c>
      <c r="U8" s="40" t="n">
        <v>182.278161</v>
      </c>
      <c r="V8" s="40" t="n">
        <v>1.45890526</v>
      </c>
      <c r="X8" s="37">
        <f>IF(OR(ISBLANK(AA8),ISBLANK(G8)),"·",AA8*G8/F8/1000000)</f>
        <v/>
      </c>
      <c r="Y8" s="38">
        <f>IF(ISBLANK(AA8),"·",AA8/D8)</f>
        <v/>
      </c>
      <c r="Z8" s="47" t="n">
        <v>611696</v>
      </c>
      <c r="AA8" s="39" t="n">
        <v>1131368</v>
      </c>
      <c r="AB8" s="48" t="n">
        <v>74.4788439</v>
      </c>
      <c r="AC8" s="48" t="n">
        <v>78.3552296</v>
      </c>
      <c r="AD8" s="48" t="n">
        <v>28.37333</v>
      </c>
      <c r="AE8" s="48" t="n">
        <v>33.6555216</v>
      </c>
      <c r="AF8" s="48" t="n">
        <v>33.0816366</v>
      </c>
      <c r="AG8" s="48" t="n">
        <v>53.4348809</v>
      </c>
      <c r="AH8" s="48" t="n">
        <v>28.024318</v>
      </c>
      <c r="AI8" s="40" t="n">
        <v>221.899612</v>
      </c>
      <c r="AJ8" s="40" t="n">
        <v>1.23817048</v>
      </c>
      <c r="AL8" s="41" t="n"/>
      <c r="AM8" s="41" t="n"/>
      <c r="AN8" s="41" t="n"/>
      <c r="AO8" s="41" t="n"/>
      <c r="AP8" s="41" t="n"/>
      <c r="AQ8" s="41" t="n"/>
      <c r="AR8" s="41" t="n"/>
    </row>
    <row r="9" outlineLevel="1" ht="15.75" customHeight="1" s="5" thickBot="1">
      <c r="A9" s="74" t="n"/>
      <c r="B9" s="49" t="inlineStr">
        <is>
          <t>longdress_voxelised</t>
        </is>
      </c>
      <c r="C9" s="50" t="inlineStr">
        <is>
          <t>r05</t>
        </is>
      </c>
      <c r="D9" s="49" t="n">
        <v>11997440</v>
      </c>
      <c r="E9" s="51" t="n">
        <v>10</v>
      </c>
      <c r="F9" s="50" t="n">
        <v>4</v>
      </c>
      <c r="G9" s="50" t="n">
        <v>30</v>
      </c>
      <c r="H9" s="50" t="n">
        <v>21</v>
      </c>
      <c r="J9" s="52">
        <f>IF(OR(ISBLANK(M9),ISBLANK(G9)),"·",M9*G9/F9/1000000)</f>
        <v/>
      </c>
      <c r="K9" s="53">
        <f>IF(ISBLANK(M9),"·",M9/D9)</f>
        <v/>
      </c>
      <c r="L9" s="54" t="n">
        <v>159938</v>
      </c>
      <c r="M9" s="55" t="n">
        <v>2572752</v>
      </c>
      <c r="N9" s="56" t="n">
        <v>999.99</v>
      </c>
      <c r="O9" s="56" t="n">
        <v>184.521232</v>
      </c>
      <c r="P9" s="56" t="n">
        <v>31.9743342</v>
      </c>
      <c r="Q9" s="56" t="n">
        <v>36.3122946</v>
      </c>
      <c r="R9" s="56" t="n">
        <v>36.1035148</v>
      </c>
      <c r="S9" s="56" t="n">
        <v>999.99</v>
      </c>
      <c r="T9" s="56" t="n">
        <v>31.9340573</v>
      </c>
      <c r="U9" s="57" t="n">
        <v>86.29456709999999</v>
      </c>
      <c r="V9" s="57" t="n">
        <v>1.41043449</v>
      </c>
      <c r="X9" s="52">
        <f>IF(OR(ISBLANK(AA9),ISBLANK(G9)),"·",AA9*G9/F9/1000000)</f>
        <v/>
      </c>
      <c r="Y9" s="53">
        <f>IF(ISBLANK(AA9),"·",AA9/D9)</f>
        <v/>
      </c>
      <c r="Z9" s="54" t="n">
        <v>159938</v>
      </c>
      <c r="AA9" s="55" t="n">
        <v>1925728</v>
      </c>
      <c r="AB9" s="56" t="n">
        <v>999.99</v>
      </c>
      <c r="AC9" s="56" t="n">
        <v>184.521232</v>
      </c>
      <c r="AD9" s="56" t="n">
        <v>28.7789478</v>
      </c>
      <c r="AE9" s="56" t="n">
        <v>33.7732356</v>
      </c>
      <c r="AF9" s="56" t="n">
        <v>33.2080427</v>
      </c>
      <c r="AG9" s="56" t="n">
        <v>999.99</v>
      </c>
      <c r="AH9" s="56" t="n">
        <v>28.7364905</v>
      </c>
      <c r="AI9" s="57" t="n">
        <v>45.7918151</v>
      </c>
      <c r="AJ9" s="57" t="n">
        <v>0.745848946</v>
      </c>
      <c r="AL9" s="58" t="n"/>
      <c r="AM9" s="58" t="n"/>
      <c r="AN9" s="58" t="n"/>
      <c r="AO9" s="58" t="n"/>
      <c r="AP9" s="58" t="n"/>
      <c r="AQ9" s="58" t="n"/>
      <c r="AR9" s="58" t="n"/>
    </row>
    <row r="10">
      <c r="A10" s="75" t="n"/>
      <c r="B10" s="75" t="inlineStr">
        <is>
          <t>soldier_voxelised</t>
        </is>
      </c>
      <c r="C10" s="36" t="inlineStr">
        <is>
          <t>r01</t>
        </is>
      </c>
      <c r="D10" s="75" t="n">
        <v>9000000</v>
      </c>
      <c r="E10" s="35" t="n">
        <v>10</v>
      </c>
      <c r="F10" s="36" t="n">
        <v>4</v>
      </c>
      <c r="G10" s="36" t="n">
        <v>30</v>
      </c>
      <c r="H10" s="36" t="n">
        <v>4</v>
      </c>
      <c r="J10" s="37">
        <f>IF(OR(ISBLANK(M10),ISBLANK(G10)),"·",M10*G10/F10/1000000)</f>
        <v/>
      </c>
      <c r="K10" s="38">
        <f>IF(ISBLANK(M10),"·",M10/D10)</f>
        <v/>
      </c>
      <c r="L10" s="47" t="n">
        <v>301568</v>
      </c>
      <c r="M10" s="39" t="n">
        <v>488696</v>
      </c>
      <c r="N10" s="48" t="n">
        <v>63.9688057</v>
      </c>
      <c r="O10" s="48" t="n">
        <v>65.1502424</v>
      </c>
      <c r="P10" s="48" t="n">
        <v>33.3172356</v>
      </c>
      <c r="Q10" s="48" t="n">
        <v>45.4342194</v>
      </c>
      <c r="R10" s="48" t="n">
        <v>45.8057393</v>
      </c>
      <c r="S10" s="48" t="n">
        <v>43.8820728</v>
      </c>
      <c r="T10" s="48" t="n">
        <v>29.3575838</v>
      </c>
      <c r="U10" s="40" t="n">
        <v>198.75966</v>
      </c>
      <c r="V10" s="40" t="n">
        <v>1.23911526</v>
      </c>
      <c r="X10" s="37">
        <f>IF(OR(ISBLANK(AA10),ISBLANK(G10)),"·",AA10*G10/F10/1000000)</f>
        <v/>
      </c>
      <c r="Y10" s="38">
        <f>IF(ISBLANK(AA10),"·",AA10/D10)</f>
        <v/>
      </c>
      <c r="Z10" s="47" t="n">
        <v>301568</v>
      </c>
      <c r="AA10" s="39" t="n">
        <v>245864</v>
      </c>
      <c r="AB10" s="48" t="n">
        <v>63.9688057</v>
      </c>
      <c r="AC10" s="48" t="n">
        <v>65.1502424</v>
      </c>
      <c r="AD10" s="48" t="n">
        <v>30.9748875</v>
      </c>
      <c r="AE10" s="48" t="n">
        <v>43.5876114</v>
      </c>
      <c r="AF10" s="48" t="n">
        <v>43.8888267</v>
      </c>
      <c r="AG10" s="48" t="n">
        <v>43.8820728</v>
      </c>
      <c r="AH10" s="48" t="n">
        <v>28.6406086</v>
      </c>
      <c r="AI10" s="40" t="n">
        <v>226.929298</v>
      </c>
      <c r="AJ10" s="40" t="n">
        <v>0.892175061</v>
      </c>
      <c r="AL10" s="41">
        <f t="array" ref="AL10">IF( OR(AND(ISBLANK(M10:M14)),AND(ISBLANK(AA10:AA14)), AND(ISBLANK(N10:N14)),AND(ISBLANK(AB10:AB14))), "·", bdRateExtend( M10:M14,N10:N14, AA10:AA14,AB10:AB14))</f>
        <v/>
      </c>
      <c r="AM10" s="41">
        <f t="array" ref="AM10">IF( OR(AND(ISBLANK(M10:M14)),AND(ISBLANK(AA10:AA14)), AND(ISBLANK(O10:O14)),AND(ISBLANK(AC10:AC14))), "·", bdRateExtend( M10:M14,O10:O14, AA10:AA14,AC10:AC14))</f>
        <v/>
      </c>
      <c r="AN10" s="41">
        <f t="array" ref="AN10">IF( OR(AND(ISBLANK(M10:M14)),AND(ISBLANK(AA10:AA14)), AND(ISBLANK(P10:P14)),AND(ISBLANK(AD10:AD14))), "·", bdRateExtend( M10:M14,P10:P14, AA10:AA14,AD10:AD14))</f>
        <v/>
      </c>
      <c r="AO10" s="41">
        <f t="array" ref="AO10">IF( OR(AND(ISBLANK(M10:M14)),AND(ISBLANK(AA10:AA14)), AND(ISBLANK(Q10:Q14)),AND(ISBLANK(AE10:AE14))), "·", bdRateExtend( M10:M14,Q10:Q14, AA10:AA14,AE10:AE14))</f>
        <v/>
      </c>
      <c r="AP10" s="41">
        <f t="array" ref="AP10">IF( OR(AND(ISBLANK(M10:M14)),AND(ISBLANK(AA10:AA14)), AND(ISBLANK(R10:R14)),AND(ISBLANK(AF10:AF14))), "·", bdRateExtend( M10:M14,R10:R14, AA10:AA14,AF10:AF14))</f>
        <v/>
      </c>
      <c r="AQ10" s="41">
        <f t="array" ref="AQ10">IF( OR(AND(ISBLANK(M10:M14)),AND(ISBLANK(AA10:AA14)), AND(ISBLANK(S10:S14)),AND(ISBLANK(AG10:AG14))), "·", bdRateExtend( M10:M14,S10:S14, AA10:AA14,AG10:AG14))</f>
        <v/>
      </c>
      <c r="AR10" s="41">
        <f t="array" ref="AR10">IF( OR(AND(ISBLANK(M10:M14)),AND(ISBLANK(AA10:AA14)), AND(ISBLANK(T10:T14)),AND(ISBLANK(AH10:AH14))), "·", bdRateExtend( M10:M14,T10:T14, AA10:AA14,AH10:AH14))</f>
        <v/>
      </c>
    </row>
    <row r="11" outlineLevel="1" s="5">
      <c r="A11" s="74" t="n"/>
      <c r="B11" s="74" t="inlineStr">
        <is>
          <t>soldier_voxelised</t>
        </is>
      </c>
      <c r="C11" s="20" t="inlineStr">
        <is>
          <t>r02</t>
        </is>
      </c>
      <c r="D11" s="74" t="n">
        <v>9000000</v>
      </c>
      <c r="E11" s="19" t="n">
        <v>10</v>
      </c>
      <c r="F11" s="20" t="n">
        <v>4</v>
      </c>
      <c r="G11" s="20" t="n">
        <v>30</v>
      </c>
      <c r="H11" s="20" t="n">
        <v>8</v>
      </c>
      <c r="J11" s="21">
        <f>IF(OR(ISBLANK(M11),ISBLANK(G11)),"·",M11*G11/F11/1000000)</f>
        <v/>
      </c>
      <c r="K11" s="22">
        <f>IF(ISBLANK(M11),"·",M11/D11)</f>
        <v/>
      </c>
      <c r="L11" s="45" t="n">
        <v>608256</v>
      </c>
      <c r="M11" s="23" t="n">
        <v>815432</v>
      </c>
      <c r="N11" s="46" t="n">
        <v>70.56724149999999</v>
      </c>
      <c r="O11" s="46" t="n">
        <v>72.6627981</v>
      </c>
      <c r="P11" s="46" t="n">
        <v>34.9962538</v>
      </c>
      <c r="Q11" s="46" t="n">
        <v>45.8994213</v>
      </c>
      <c r="R11" s="46" t="n">
        <v>46.2085005</v>
      </c>
      <c r="S11" s="46" t="n">
        <v>47.7019074</v>
      </c>
      <c r="T11" s="46" t="n">
        <v>32.6680852</v>
      </c>
      <c r="U11" s="24" t="n">
        <v>230.301527</v>
      </c>
      <c r="V11" s="24" t="n">
        <v>1.36449931</v>
      </c>
      <c r="X11" s="21">
        <f>IF(OR(ISBLANK(AA11),ISBLANK(G11)),"·",AA11*G11/F11/1000000)</f>
        <v/>
      </c>
      <c r="Y11" s="22">
        <f>IF(ISBLANK(AA11),"·",AA11/D11)</f>
        <v/>
      </c>
      <c r="Z11" s="45" t="n">
        <v>608256</v>
      </c>
      <c r="AA11" s="23" t="n">
        <v>501672</v>
      </c>
      <c r="AB11" s="46" t="n">
        <v>70.56724149999999</v>
      </c>
      <c r="AC11" s="46" t="n">
        <v>72.6627981</v>
      </c>
      <c r="AD11" s="46" t="n">
        <v>32.1578828</v>
      </c>
      <c r="AE11" s="46" t="n">
        <v>44.1759647</v>
      </c>
      <c r="AF11" s="46" t="n">
        <v>44.4146003</v>
      </c>
      <c r="AG11" s="46" t="n">
        <v>47.7019074</v>
      </c>
      <c r="AH11" s="46" t="n">
        <v>30.9381954</v>
      </c>
      <c r="AI11" s="24" t="n">
        <v>272.771064</v>
      </c>
      <c r="AJ11" s="24" t="n">
        <v>0.879458482</v>
      </c>
      <c r="AL11" s="25" t="n"/>
      <c r="AM11" s="25" t="n"/>
      <c r="AN11" s="25" t="n"/>
      <c r="AO11" s="25" t="n"/>
      <c r="AP11" s="25" t="n"/>
      <c r="AQ11" s="25" t="n"/>
      <c r="AR11" s="25" t="n"/>
    </row>
    <row r="12" outlineLevel="1" s="5">
      <c r="A12" s="75" t="n"/>
      <c r="B12" s="75" t="inlineStr">
        <is>
          <t>soldier_voxelised</t>
        </is>
      </c>
      <c r="C12" s="36" t="inlineStr">
        <is>
          <t>r03</t>
        </is>
      </c>
      <c r="D12" s="75" t="n">
        <v>9000000</v>
      </c>
      <c r="E12" s="35" t="n">
        <v>10</v>
      </c>
      <c r="F12" s="36" t="n">
        <v>4</v>
      </c>
      <c r="G12" s="36" t="n">
        <v>30</v>
      </c>
      <c r="H12" s="36" t="n">
        <v>11</v>
      </c>
      <c r="J12" s="37">
        <f>IF(OR(ISBLANK(M12),ISBLANK(G12)),"·",M12*G12/F12/1000000)</f>
        <v/>
      </c>
      <c r="K12" s="38">
        <f>IF(ISBLANK(M12),"·",M12/D12)</f>
        <v/>
      </c>
      <c r="L12" s="47" t="n">
        <v>608256</v>
      </c>
      <c r="M12" s="39" t="n">
        <v>1125584</v>
      </c>
      <c r="N12" s="48" t="n">
        <v>72.4033647</v>
      </c>
      <c r="O12" s="48" t="n">
        <v>74.9447301</v>
      </c>
      <c r="P12" s="48" t="n">
        <v>35.4657241</v>
      </c>
      <c r="Q12" s="48" t="n">
        <v>46.1010842</v>
      </c>
      <c r="R12" s="48" t="n">
        <v>46.7277593</v>
      </c>
      <c r="S12" s="48" t="n">
        <v>48.8094691</v>
      </c>
      <c r="T12" s="48" t="n">
        <v>33.5469941</v>
      </c>
      <c r="U12" s="40" t="n">
        <v>239.771786</v>
      </c>
      <c r="V12" s="40" t="n">
        <v>1.37605479</v>
      </c>
      <c r="X12" s="37">
        <f>IF(OR(ISBLANK(AA12),ISBLANK(G12)),"·",AA12*G12/F12/1000000)</f>
        <v/>
      </c>
      <c r="Y12" s="38">
        <f>IF(ISBLANK(AA12),"·",AA12/D12)</f>
        <v/>
      </c>
      <c r="Z12" s="47" t="n">
        <v>608256</v>
      </c>
      <c r="AA12" s="39" t="n">
        <v>765656</v>
      </c>
      <c r="AB12" s="48" t="n">
        <v>72.4033647</v>
      </c>
      <c r="AC12" s="48" t="n">
        <v>74.9447301</v>
      </c>
      <c r="AD12" s="48" t="n">
        <v>32.5558934</v>
      </c>
      <c r="AE12" s="48" t="n">
        <v>44.4450573</v>
      </c>
      <c r="AF12" s="48" t="n">
        <v>44.6447283</v>
      </c>
      <c r="AG12" s="48" t="n">
        <v>48.8094691</v>
      </c>
      <c r="AH12" s="48" t="n">
        <v>31.5560187</v>
      </c>
      <c r="AI12" s="40" t="n">
        <v>275.379364</v>
      </c>
      <c r="AJ12" s="40" t="n">
        <v>1.09615591</v>
      </c>
      <c r="AL12" s="41" t="n"/>
      <c r="AM12" s="41" t="n"/>
      <c r="AN12" s="41" t="n"/>
      <c r="AO12" s="41" t="n"/>
      <c r="AP12" s="41" t="n"/>
      <c r="AQ12" s="41" t="n"/>
      <c r="AR12" s="41" t="n"/>
    </row>
    <row r="13" outlineLevel="1" s="5">
      <c r="A13" s="74" t="n"/>
      <c r="B13" s="74" t="inlineStr">
        <is>
          <t>soldier_voxelised</t>
        </is>
      </c>
      <c r="C13" s="20" t="inlineStr">
        <is>
          <t>r04</t>
        </is>
      </c>
      <c r="D13" s="74" t="n">
        <v>9000000</v>
      </c>
      <c r="E13" s="19" t="n">
        <v>10</v>
      </c>
      <c r="F13" s="20" t="n">
        <v>4</v>
      </c>
      <c r="G13" s="20" t="n">
        <v>30</v>
      </c>
      <c r="H13" s="20" t="n">
        <v>14</v>
      </c>
      <c r="J13" s="21">
        <f>IF(OR(ISBLANK(M13),ISBLANK(G13)),"·",M13*G13/F13/1000000)</f>
        <v/>
      </c>
      <c r="K13" s="22">
        <f>IF(ISBLANK(M13),"·",M13/D13)</f>
        <v/>
      </c>
      <c r="L13" s="45" t="n">
        <v>608256</v>
      </c>
      <c r="M13" s="23" t="n">
        <v>1494992</v>
      </c>
      <c r="N13" s="46" t="n">
        <v>72.4033647</v>
      </c>
      <c r="O13" s="46" t="n">
        <v>74.9447301</v>
      </c>
      <c r="P13" s="46" t="n">
        <v>36.4185428</v>
      </c>
      <c r="Q13" s="46" t="n">
        <v>47.22289</v>
      </c>
      <c r="R13" s="46" t="n">
        <v>47.8195688</v>
      </c>
      <c r="S13" s="46" t="n">
        <v>48.8094691</v>
      </c>
      <c r="T13" s="46" t="n">
        <v>34.0774174</v>
      </c>
      <c r="U13" s="24" t="n">
        <v>244.27626</v>
      </c>
      <c r="V13" s="24" t="n">
        <v>1.440819</v>
      </c>
      <c r="X13" s="21">
        <f>IF(OR(ISBLANK(AA13),ISBLANK(G13)),"·",AA13*G13/F13/1000000)</f>
        <v/>
      </c>
      <c r="Y13" s="22">
        <f>IF(ISBLANK(AA13),"·",AA13/D13)</f>
        <v/>
      </c>
      <c r="Z13" s="45" t="n">
        <v>608256</v>
      </c>
      <c r="AA13" s="23" t="n">
        <v>947536</v>
      </c>
      <c r="AB13" s="46" t="n">
        <v>72.4033647</v>
      </c>
      <c r="AC13" s="46" t="n">
        <v>74.9447301</v>
      </c>
      <c r="AD13" s="46" t="n">
        <v>33.6122224</v>
      </c>
      <c r="AE13" s="46" t="n">
        <v>45.3603524</v>
      </c>
      <c r="AF13" s="46" t="n">
        <v>45.8416434</v>
      </c>
      <c r="AG13" s="46" t="n">
        <v>48.8094691</v>
      </c>
      <c r="AH13" s="46" t="n">
        <v>32.321463</v>
      </c>
      <c r="AI13" s="24" t="n">
        <v>291.438993</v>
      </c>
      <c r="AJ13" s="24" t="n">
        <v>1.21184026</v>
      </c>
      <c r="AL13" s="25" t="n"/>
      <c r="AM13" s="25" t="n"/>
      <c r="AN13" s="25" t="n"/>
      <c r="AO13" s="25" t="n"/>
      <c r="AP13" s="25" t="n"/>
      <c r="AQ13" s="25" t="n"/>
      <c r="AR13" s="25" t="n"/>
    </row>
    <row r="14" outlineLevel="1" ht="15.75" customHeight="1" s="5" thickBot="1">
      <c r="A14" s="26" t="n"/>
      <c r="B14" s="26" t="inlineStr">
        <is>
          <t>soldier_voxelised</t>
        </is>
      </c>
      <c r="C14" s="28" t="inlineStr">
        <is>
          <t>r05</t>
        </is>
      </c>
      <c r="D14" s="26" t="n">
        <v>9000000</v>
      </c>
      <c r="E14" s="27" t="n">
        <v>10</v>
      </c>
      <c r="F14" s="28" t="n">
        <v>4</v>
      </c>
      <c r="G14" s="28" t="n">
        <v>30</v>
      </c>
      <c r="H14" s="28" t="n">
        <v>21</v>
      </c>
      <c r="J14" s="29">
        <f>IF(OR(ISBLANK(M14),ISBLANK(G14)),"·",M14*G14/F14/1000000)</f>
        <v/>
      </c>
      <c r="K14" s="30">
        <f>IF(ISBLANK(M14),"·",M14/D14)</f>
        <v/>
      </c>
      <c r="L14" s="59" t="n">
        <v>608256</v>
      </c>
      <c r="M14" s="31" t="n">
        <v>2380152</v>
      </c>
      <c r="N14" s="60" t="n">
        <v>72.76487830000001</v>
      </c>
      <c r="O14" s="60" t="n">
        <v>75.4269041</v>
      </c>
      <c r="P14" s="60" t="n">
        <v>37.3679713</v>
      </c>
      <c r="Q14" s="60" t="n">
        <v>48.2170168</v>
      </c>
      <c r="R14" s="60" t="n">
        <v>48.9082339</v>
      </c>
      <c r="S14" s="60" t="n">
        <v>49.0348083</v>
      </c>
      <c r="T14" s="60" t="n">
        <v>34.6796917</v>
      </c>
      <c r="U14" s="32" t="n">
        <v>273.17105</v>
      </c>
      <c r="V14" s="32" t="n">
        <v>1.53271234</v>
      </c>
      <c r="X14" s="29">
        <f>IF(OR(ISBLANK(AA14),ISBLANK(G14)),"·",AA14*G14/F14/1000000)</f>
        <v/>
      </c>
      <c r="Y14" s="30">
        <f>IF(ISBLANK(AA14),"·",AA14/D14)</f>
        <v/>
      </c>
      <c r="Z14" s="59" t="n">
        <v>608256</v>
      </c>
      <c r="AA14" s="31" t="n">
        <v>1433904</v>
      </c>
      <c r="AB14" s="60" t="n">
        <v>72.76487830000001</v>
      </c>
      <c r="AC14" s="60" t="n">
        <v>75.4269041</v>
      </c>
      <c r="AD14" s="60" t="n">
        <v>34.6557812</v>
      </c>
      <c r="AE14" s="60" t="n">
        <v>46.3226952</v>
      </c>
      <c r="AF14" s="60" t="n">
        <v>46.9090832</v>
      </c>
      <c r="AG14" s="60" t="n">
        <v>49.0348083</v>
      </c>
      <c r="AH14" s="60" t="n">
        <v>33.095745</v>
      </c>
      <c r="AI14" s="32" t="n">
        <v>291.080936</v>
      </c>
      <c r="AJ14" s="32" t="n">
        <v>1.42778154</v>
      </c>
      <c r="AL14" s="33" t="n"/>
      <c r="AM14" s="33" t="n"/>
      <c r="AN14" s="33" t="n"/>
      <c r="AO14" s="33" t="n"/>
      <c r="AP14" s="33" t="n"/>
      <c r="AQ14" s="33" t="n"/>
      <c r="AR14" s="33" t="n"/>
    </row>
    <row r="15">
      <c r="A15" s="74" t="inlineStr">
        <is>
          <t>cat1-B</t>
        </is>
      </c>
      <c r="B15" s="74" t="inlineStr">
        <is>
          <t>basketball_player_voxelised</t>
        </is>
      </c>
      <c r="C15" s="20" t="inlineStr">
        <is>
          <t>r01</t>
        </is>
      </c>
      <c r="D15" s="74" t="n">
        <v>11842002</v>
      </c>
      <c r="E15" s="19" t="n">
        <v>12</v>
      </c>
      <c r="F15" s="20" t="n">
        <v>4</v>
      </c>
      <c r="G15" s="20" t="n">
        <v>30</v>
      </c>
      <c r="H15" s="20" t="n">
        <v>3</v>
      </c>
      <c r="J15" s="21">
        <f>IF(OR(ISBLANK(M15),ISBLANK(G15)),"·",M15*G15/F15/1000000)</f>
        <v/>
      </c>
      <c r="K15" s="22">
        <f>IF(ISBLANK(M15),"·",M15/D15)</f>
        <v/>
      </c>
      <c r="L15" s="45" t="n">
        <v>302336</v>
      </c>
      <c r="M15" s="23" t="n">
        <v>369128</v>
      </c>
      <c r="N15" s="46" t="n">
        <v>66.6022742</v>
      </c>
      <c r="O15" s="46" t="n">
        <v>67.3525176</v>
      </c>
      <c r="P15" s="46" t="n">
        <v>34.7732116</v>
      </c>
      <c r="Q15" s="46" t="n">
        <v>43.2301651</v>
      </c>
      <c r="R15" s="46" t="n">
        <v>44.9272264</v>
      </c>
      <c r="S15" s="46" t="n">
        <v>43.1497794</v>
      </c>
      <c r="T15" s="46" t="n">
        <v>30.3434083</v>
      </c>
      <c r="U15" s="24" t="n">
        <v>108.17958</v>
      </c>
      <c r="V15" s="24" t="n">
        <v>1.24747011</v>
      </c>
      <c r="X15" s="21">
        <f>IF(OR(ISBLANK(AA15),ISBLANK(G15)),"·",AA15*G15/F15/1000000)</f>
        <v/>
      </c>
      <c r="Y15" s="22">
        <f>IF(ISBLANK(AA15),"·",AA15/D15)</f>
        <v/>
      </c>
      <c r="Z15" s="45" t="n">
        <v>302336</v>
      </c>
      <c r="AA15" s="23" t="n">
        <v>238000</v>
      </c>
      <c r="AB15" s="46" t="n">
        <v>66.6022742</v>
      </c>
      <c r="AC15" s="46" t="n">
        <v>67.3525176</v>
      </c>
      <c r="AD15" s="46" t="n">
        <v>32.2877639</v>
      </c>
      <c r="AE15" s="46" t="n">
        <v>42.2130913</v>
      </c>
      <c r="AF15" s="46" t="n">
        <v>43.1353853</v>
      </c>
      <c r="AG15" s="46" t="n">
        <v>43.1497794</v>
      </c>
      <c r="AH15" s="46" t="n">
        <v>29.5722921</v>
      </c>
      <c r="AI15" s="24" t="n">
        <v>86.4410183</v>
      </c>
      <c r="AJ15" s="24" t="n">
        <v>1.03523004</v>
      </c>
      <c r="AL15" s="25">
        <f t="array" ref="AL15">IF( OR(AND(ISBLANK(M15:M19)),AND(ISBLANK(AA15:AA19)), AND(ISBLANK(N15:N19)),AND(ISBLANK(AB15:AB19))), "·", bdRateExtend( M15:M19,N15:N19, AA15:AA19,AB15:AB19))</f>
        <v/>
      </c>
      <c r="AM15" s="25">
        <f t="array" ref="AM15">IF( OR(AND(ISBLANK(M15:M19)),AND(ISBLANK(AA15:AA19)), AND(ISBLANK(O15:O19)),AND(ISBLANK(AC15:AC19))), "·", bdRateExtend( M15:M19,O15:O19, AA15:AA19,AC15:AC19))</f>
        <v/>
      </c>
      <c r="AN15" s="25">
        <f t="array" ref="AN15">IF( OR(AND(ISBLANK(M15:M19)),AND(ISBLANK(AA15:AA19)), AND(ISBLANK(P15:P19)),AND(ISBLANK(AD15:AD19))), "·", bdRateExtend( M15:M19,P15:P19, AA15:AA19,AD15:AD19))</f>
        <v/>
      </c>
      <c r="AO15" s="25">
        <f t="array" ref="AO15">IF( OR(AND(ISBLANK(M15:M19)),AND(ISBLANK(AA15:AA19)), AND(ISBLANK(Q15:Q19)),AND(ISBLANK(AE15:AE19))), "·", bdRateExtend( M15:M19,Q15:Q19, AA15:AA19,AE15:AE19))</f>
        <v/>
      </c>
      <c r="AP15" s="25">
        <f t="array" ref="AP15">IF( OR(AND(ISBLANK(M15:M19)),AND(ISBLANK(AA15:AA19)), AND(ISBLANK(R15:R19)),AND(ISBLANK(AF15:AF19))), "·", bdRateExtend( M15:M19,R15:R19, AA15:AA19,AF15:AF19))</f>
        <v/>
      </c>
      <c r="AQ15" s="25">
        <f t="array" ref="AQ15">IF( OR(AND(ISBLANK(M15:M19)),AND(ISBLANK(AA15:AA19)), AND(ISBLANK(S15:S19)),AND(ISBLANK(AG15:AG19))), "·", bdRateExtend( M15:M19,S15:S19, AA15:AA19,AG15:AG19))</f>
        <v/>
      </c>
      <c r="AR15" s="25">
        <f t="array" ref="AR15">IF( OR(AND(ISBLANK(M15:M19)),AND(ISBLANK(AA15:AA19)), AND(ISBLANK(T15:T19)),AND(ISBLANK(AH15:AH19))), "·", bdRateExtend( M15:M19,T15:T19, AA15:AA19,AH15:AH19))</f>
        <v/>
      </c>
    </row>
    <row r="16" outlineLevel="1" s="5">
      <c r="A16" s="75" t="n"/>
      <c r="B16" s="75" t="inlineStr">
        <is>
          <t>basketball_player_voxelised</t>
        </is>
      </c>
      <c r="C16" s="36" t="inlineStr">
        <is>
          <t>r02</t>
        </is>
      </c>
      <c r="D16" s="75" t="n">
        <v>11842002</v>
      </c>
      <c r="E16" s="35" t="n">
        <v>12</v>
      </c>
      <c r="F16" s="36" t="n">
        <v>4</v>
      </c>
      <c r="G16" s="36" t="n">
        <v>30</v>
      </c>
      <c r="H16" s="36" t="n">
        <v>5</v>
      </c>
      <c r="J16" s="37">
        <f>IF(OR(ISBLANK(M16),ISBLANK(G16)),"·",M16*G16/F16/1000000)</f>
        <v/>
      </c>
      <c r="K16" s="38">
        <f>IF(ISBLANK(M16),"·",M16/D16)</f>
        <v/>
      </c>
      <c r="L16" s="47" t="n">
        <v>302336</v>
      </c>
      <c r="M16" s="39" t="n">
        <v>607256</v>
      </c>
      <c r="N16" s="48" t="n">
        <v>73.7798607</v>
      </c>
      <c r="O16" s="48" t="n">
        <v>75.3632394</v>
      </c>
      <c r="P16" s="48" t="n">
        <v>36.4332511</v>
      </c>
      <c r="Q16" s="48" t="n">
        <v>43.3783117</v>
      </c>
      <c r="R16" s="48" t="n">
        <v>45.3686015</v>
      </c>
      <c r="S16" s="48" t="n">
        <v>47.0154923</v>
      </c>
      <c r="T16" s="48" t="n">
        <v>33.6177564</v>
      </c>
      <c r="U16" s="40" t="n">
        <v>108.852441</v>
      </c>
      <c r="V16" s="40" t="n">
        <v>1.27843044</v>
      </c>
      <c r="X16" s="37">
        <f>IF(OR(ISBLANK(AA16),ISBLANK(G16)),"·",AA16*G16/F16/1000000)</f>
        <v/>
      </c>
      <c r="Y16" s="38">
        <f>IF(ISBLANK(AA16),"·",AA16/D16)</f>
        <v/>
      </c>
      <c r="Z16" s="47" t="n">
        <v>302336</v>
      </c>
      <c r="AA16" s="39" t="n">
        <v>427952</v>
      </c>
      <c r="AB16" s="48" t="n">
        <v>73.7798607</v>
      </c>
      <c r="AC16" s="48" t="n">
        <v>75.3632394</v>
      </c>
      <c r="AD16" s="48" t="n">
        <v>33.6148159</v>
      </c>
      <c r="AE16" s="48" t="n">
        <v>42.3540086</v>
      </c>
      <c r="AF16" s="48" t="n">
        <v>43.56254</v>
      </c>
      <c r="AG16" s="48" t="n">
        <v>47.0154923</v>
      </c>
      <c r="AH16" s="48" t="n">
        <v>32.123144</v>
      </c>
      <c r="AI16" s="40" t="n">
        <v>91.64938239999999</v>
      </c>
      <c r="AJ16" s="40" t="n">
        <v>1.02773588</v>
      </c>
      <c r="AL16" s="41" t="n"/>
      <c r="AM16" s="41" t="n"/>
      <c r="AN16" s="41" t="n"/>
      <c r="AO16" s="41" t="n"/>
      <c r="AP16" s="41" t="n"/>
      <c r="AQ16" s="41" t="n"/>
      <c r="AR16" s="41" t="n"/>
    </row>
    <row r="17" outlineLevel="1" s="5">
      <c r="A17" s="74" t="n"/>
      <c r="B17" s="74" t="inlineStr">
        <is>
          <t>basketball_player_voxelised</t>
        </is>
      </c>
      <c r="C17" s="20" t="inlineStr">
        <is>
          <t>r03</t>
        </is>
      </c>
      <c r="D17" s="74" t="n">
        <v>11842002</v>
      </c>
      <c r="E17" s="19" t="n">
        <v>12</v>
      </c>
      <c r="F17" s="20" t="n">
        <v>4</v>
      </c>
      <c r="G17" s="20" t="n">
        <v>30</v>
      </c>
      <c r="H17" s="20" t="n">
        <v>10</v>
      </c>
      <c r="J17" s="21">
        <f>IF(OR(ISBLANK(M17),ISBLANK(G17)),"·",M17*G17/F17/1000000)</f>
        <v/>
      </c>
      <c r="K17" s="22">
        <f>IF(ISBLANK(M17),"·",M17/D17)</f>
        <v/>
      </c>
      <c r="L17" s="45" t="n">
        <v>604992</v>
      </c>
      <c r="M17" s="23" t="n">
        <v>1273928</v>
      </c>
      <c r="N17" s="46" t="n">
        <v>77.0945961</v>
      </c>
      <c r="O17" s="46" t="n">
        <v>79.1626661</v>
      </c>
      <c r="P17" s="46" t="n">
        <v>39.2016748</v>
      </c>
      <c r="Q17" s="46" t="n">
        <v>44.7509233</v>
      </c>
      <c r="R17" s="46" t="n">
        <v>47.8665031</v>
      </c>
      <c r="S17" s="46" t="n">
        <v>48.5656455</v>
      </c>
      <c r="T17" s="46" t="n">
        <v>36.0810843</v>
      </c>
      <c r="U17" s="24" t="n">
        <v>127.312731</v>
      </c>
      <c r="V17" s="24" t="n">
        <v>1.46803772</v>
      </c>
      <c r="X17" s="21">
        <f>IF(OR(ISBLANK(AA17),ISBLANK(G17)),"·",AA17*G17/F17/1000000)</f>
        <v/>
      </c>
      <c r="Y17" s="22">
        <f>IF(ISBLANK(AA17),"·",AA17/D17)</f>
        <v/>
      </c>
      <c r="Z17" s="45" t="n">
        <v>604992</v>
      </c>
      <c r="AA17" s="23" t="n">
        <v>839672</v>
      </c>
      <c r="AB17" s="46" t="n">
        <v>77.0945961</v>
      </c>
      <c r="AC17" s="46" t="n">
        <v>79.1626661</v>
      </c>
      <c r="AD17" s="46" t="n">
        <v>36.4275698</v>
      </c>
      <c r="AE17" s="46" t="n">
        <v>43.6437231</v>
      </c>
      <c r="AF17" s="46" t="n">
        <v>45.8664764</v>
      </c>
      <c r="AG17" s="46" t="n">
        <v>48.5656455</v>
      </c>
      <c r="AH17" s="46" t="n">
        <v>34.6726034</v>
      </c>
      <c r="AI17" s="24" t="n">
        <v>110.665269</v>
      </c>
      <c r="AJ17" s="24" t="n">
        <v>1.15296015</v>
      </c>
      <c r="AL17" s="25" t="n"/>
      <c r="AM17" s="25" t="n"/>
      <c r="AN17" s="25" t="n"/>
      <c r="AO17" s="25" t="n"/>
      <c r="AP17" s="25" t="n"/>
      <c r="AQ17" s="25" t="n"/>
      <c r="AR17" s="25" t="n"/>
    </row>
    <row r="18" outlineLevel="1" s="5">
      <c r="A18" s="75" t="n"/>
      <c r="B18" s="75" t="inlineStr">
        <is>
          <t>basketball_player_voxelised</t>
        </is>
      </c>
      <c r="C18" s="36" t="inlineStr">
        <is>
          <t>r04</t>
        </is>
      </c>
      <c r="D18" s="75" t="n">
        <v>11842002</v>
      </c>
      <c r="E18" s="35" t="n">
        <v>12</v>
      </c>
      <c r="F18" s="36" t="n">
        <v>4</v>
      </c>
      <c r="G18" s="36" t="n">
        <v>30</v>
      </c>
      <c r="H18" s="36" t="n">
        <v>14</v>
      </c>
      <c r="J18" s="37">
        <f>IF(OR(ISBLANK(M18),ISBLANK(G18)),"·",M18*G18/F18/1000000)</f>
        <v/>
      </c>
      <c r="K18" s="38">
        <f>IF(ISBLANK(M18),"·",M18/D18)</f>
        <v/>
      </c>
      <c r="L18" s="47" t="n">
        <v>56736</v>
      </c>
      <c r="M18" s="39" t="n">
        <v>1752912</v>
      </c>
      <c r="N18" s="48" t="n">
        <v>80.6262255</v>
      </c>
      <c r="O18" s="48" t="n">
        <v>83.3000583</v>
      </c>
      <c r="P18" s="48" t="n">
        <v>39.7701063</v>
      </c>
      <c r="Q18" s="48" t="n">
        <v>44.701691</v>
      </c>
      <c r="R18" s="48" t="n">
        <v>47.8157535</v>
      </c>
      <c r="S18" s="48" t="n">
        <v>50.6608749</v>
      </c>
      <c r="T18" s="48" t="n">
        <v>37.7148829</v>
      </c>
      <c r="U18" s="40" t="n">
        <v>194.840651</v>
      </c>
      <c r="V18" s="40" t="n">
        <v>1.41273075</v>
      </c>
      <c r="X18" s="37">
        <f>IF(OR(ISBLANK(AA18),ISBLANK(G18)),"·",AA18*G18/F18/1000000)</f>
        <v/>
      </c>
      <c r="Y18" s="38">
        <f>IF(ISBLANK(AA18),"·",AA18/D18)</f>
        <v/>
      </c>
      <c r="Z18" s="47" t="n">
        <v>56736</v>
      </c>
      <c r="AA18" s="39" t="n">
        <v>1280640</v>
      </c>
      <c r="AB18" s="48" t="n">
        <v>80.6262255</v>
      </c>
      <c r="AC18" s="48" t="n">
        <v>83.3000583</v>
      </c>
      <c r="AD18" s="48" t="n">
        <v>36.8879123</v>
      </c>
      <c r="AE18" s="48" t="n">
        <v>43.61142</v>
      </c>
      <c r="AF18" s="48" t="n">
        <v>45.8690756</v>
      </c>
      <c r="AG18" s="48" t="n">
        <v>50.6608749</v>
      </c>
      <c r="AH18" s="48" t="n">
        <v>35.8500788</v>
      </c>
      <c r="AI18" s="40" t="n">
        <v>215.434719</v>
      </c>
      <c r="AJ18" s="40" t="n">
        <v>1.06279367</v>
      </c>
      <c r="AL18" s="41" t="n"/>
      <c r="AM18" s="41" t="n"/>
      <c r="AN18" s="41" t="n"/>
      <c r="AO18" s="41" t="n"/>
      <c r="AP18" s="41" t="n"/>
      <c r="AQ18" s="41" t="n"/>
      <c r="AR18" s="41" t="n"/>
    </row>
    <row r="19" outlineLevel="1" ht="15.75" customHeight="1" s="5" thickBot="1">
      <c r="A19" s="74" t="n"/>
      <c r="B19" s="49" t="inlineStr">
        <is>
          <t>basketball_player_voxelised</t>
        </is>
      </c>
      <c r="C19" s="50" t="inlineStr">
        <is>
          <t>r05</t>
        </is>
      </c>
      <c r="D19" s="49" t="n">
        <v>11842002</v>
      </c>
      <c r="E19" s="51" t="n">
        <v>12</v>
      </c>
      <c r="F19" s="50" t="n">
        <v>4</v>
      </c>
      <c r="G19" s="50" t="n">
        <v>30</v>
      </c>
      <c r="H19" s="50" t="n">
        <v>21</v>
      </c>
      <c r="J19" s="52">
        <f>IF(OR(ISBLANK(M19),ISBLANK(G19)),"·",M19*G19/F19/1000000)</f>
        <v/>
      </c>
      <c r="K19" s="53">
        <f>IF(ISBLANK(M19),"·",M19/D19)</f>
        <v/>
      </c>
      <c r="L19" s="54" t="n">
        <v>75646</v>
      </c>
      <c r="M19" s="55" t="n">
        <v>2627080</v>
      </c>
      <c r="N19" s="56" t="n">
        <v>83.9721507</v>
      </c>
      <c r="O19" s="56" t="n">
        <v>87.5484728</v>
      </c>
      <c r="P19" s="56" t="n">
        <v>41.4066455</v>
      </c>
      <c r="Q19" s="56" t="n">
        <v>45.7600776</v>
      </c>
      <c r="R19" s="56" t="n">
        <v>49.5003998</v>
      </c>
      <c r="S19" s="56" t="n">
        <v>54.5117085</v>
      </c>
      <c r="T19" s="56" t="n">
        <v>39.9731581</v>
      </c>
      <c r="U19" s="57" t="n">
        <v>200.576966</v>
      </c>
      <c r="V19" s="57" t="n">
        <v>1.38950316</v>
      </c>
      <c r="X19" s="52">
        <f>IF(OR(ISBLANK(AA19),ISBLANK(G19)),"·",AA19*G19/F19/1000000)</f>
        <v/>
      </c>
      <c r="Y19" s="53">
        <f>IF(ISBLANK(AA19),"·",AA19/D19)</f>
        <v/>
      </c>
      <c r="Z19" s="54" t="n">
        <v>75646</v>
      </c>
      <c r="AA19" s="55" t="n">
        <v>1826504</v>
      </c>
      <c r="AB19" s="56" t="n">
        <v>83.9721507</v>
      </c>
      <c r="AC19" s="56" t="n">
        <v>87.5484728</v>
      </c>
      <c r="AD19" s="56" t="n">
        <v>38.300743</v>
      </c>
      <c r="AE19" s="56" t="n">
        <v>44.538405</v>
      </c>
      <c r="AF19" s="56" t="n">
        <v>47.5684833</v>
      </c>
      <c r="AG19" s="56" t="n">
        <v>54.5117085</v>
      </c>
      <c r="AH19" s="56" t="n">
        <v>37.6913882</v>
      </c>
      <c r="AI19" s="57" t="n">
        <v>239.071452</v>
      </c>
      <c r="AJ19" s="57" t="n">
        <v>1.1430585</v>
      </c>
      <c r="AL19" s="58" t="n"/>
      <c r="AM19" s="58" t="n"/>
      <c r="AN19" s="58" t="n"/>
      <c r="AO19" s="58" t="n"/>
      <c r="AP19" s="58" t="n"/>
      <c r="AQ19" s="58" t="n"/>
      <c r="AR19" s="58" t="n"/>
    </row>
    <row r="20">
      <c r="A20" s="75" t="n"/>
      <c r="B20" s="75" t="inlineStr">
        <is>
          <t>dancer_voxelised</t>
        </is>
      </c>
      <c r="C20" s="36" t="inlineStr">
        <is>
          <t>r01</t>
        </is>
      </c>
      <c r="D20" s="75" t="n">
        <v>11812090</v>
      </c>
      <c r="E20" s="35" t="n">
        <v>12</v>
      </c>
      <c r="F20" s="36" t="n">
        <v>4</v>
      </c>
      <c r="G20" s="36" t="n">
        <v>30</v>
      </c>
      <c r="H20" s="36" t="n">
        <v>3</v>
      </c>
      <c r="J20" s="37">
        <f>IF(OR(ISBLANK(M20),ISBLANK(G20)),"·",M20*G20/F20/1000000)</f>
        <v/>
      </c>
      <c r="K20" s="38">
        <f>IF(ISBLANK(M20),"·",M20/D20)</f>
        <v/>
      </c>
      <c r="L20" s="47" t="n">
        <v>302208</v>
      </c>
      <c r="M20" s="39" t="n">
        <v>399744</v>
      </c>
      <c r="N20" s="48" t="n">
        <v>66.7726691</v>
      </c>
      <c r="O20" s="48" t="n">
        <v>67.65774020000001</v>
      </c>
      <c r="P20" s="48" t="n">
        <v>33.7175885</v>
      </c>
      <c r="Q20" s="48" t="n">
        <v>43.3680316</v>
      </c>
      <c r="R20" s="48" t="n">
        <v>44.8258955</v>
      </c>
      <c r="S20" s="48" t="n">
        <v>45.9227485</v>
      </c>
      <c r="T20" s="48" t="n">
        <v>29.200677</v>
      </c>
      <c r="U20" s="40" t="n">
        <v>112.741508</v>
      </c>
      <c r="V20" s="40" t="n">
        <v>1.23301618</v>
      </c>
      <c r="X20" s="37">
        <f>IF(OR(ISBLANK(AA20),ISBLANK(G20)),"·",AA20*G20/F20/1000000)</f>
        <v/>
      </c>
      <c r="Y20" s="38">
        <f>IF(ISBLANK(AA20),"·",AA20/D20)</f>
        <v/>
      </c>
      <c r="Z20" s="47" t="n">
        <v>302208</v>
      </c>
      <c r="AA20" s="39" t="n">
        <v>252304</v>
      </c>
      <c r="AB20" s="48" t="n">
        <v>66.7726691</v>
      </c>
      <c r="AC20" s="48" t="n">
        <v>67.65774020000001</v>
      </c>
      <c r="AD20" s="48" t="n">
        <v>31.343693</v>
      </c>
      <c r="AE20" s="48" t="n">
        <v>42.1588948</v>
      </c>
      <c r="AF20" s="48" t="n">
        <v>42.9727652</v>
      </c>
      <c r="AG20" s="48" t="n">
        <v>45.9227485</v>
      </c>
      <c r="AH20" s="48" t="n">
        <v>28.4720872</v>
      </c>
      <c r="AI20" s="40" t="n">
        <v>98.7459942</v>
      </c>
      <c r="AJ20" s="40" t="n">
        <v>1.01157473</v>
      </c>
      <c r="AL20" s="41">
        <f t="array" ref="AL20">IF( OR(AND(ISBLANK(M20:M24)),AND(ISBLANK(AA20:AA24)), AND(ISBLANK(N20:N24)),AND(ISBLANK(AB20:AB24))), "·", bdRateExtend( M20:M24,N20:N24, AA20:AA24,AB20:AB24))</f>
        <v/>
      </c>
      <c r="AM20" s="41">
        <f t="array" ref="AM20">IF( OR(AND(ISBLANK(M20:M24)),AND(ISBLANK(AA20:AA24)), AND(ISBLANK(O20:O24)),AND(ISBLANK(AC20:AC24))), "·", bdRateExtend( M20:M24,O20:O24, AA20:AA24,AC20:AC24))</f>
        <v/>
      </c>
      <c r="AN20" s="41">
        <f t="array" ref="AN20">IF( OR(AND(ISBLANK(M20:M24)),AND(ISBLANK(AA20:AA24)), AND(ISBLANK(P20:P24)),AND(ISBLANK(AD20:AD24))), "·", bdRateExtend( M20:M24,P20:P24, AA20:AA24,AD20:AD24))</f>
        <v/>
      </c>
      <c r="AO20" s="41">
        <f t="array" ref="AO20">IF( OR(AND(ISBLANK(M20:M24)),AND(ISBLANK(AA20:AA24)), AND(ISBLANK(Q20:Q24)),AND(ISBLANK(AE20:AE24))), "·", bdRateExtend( M20:M24,Q20:Q24, AA20:AA24,AE20:AE24))</f>
        <v/>
      </c>
      <c r="AP20" s="41">
        <f t="array" ref="AP20">IF( OR(AND(ISBLANK(M20:M24)),AND(ISBLANK(AA20:AA24)), AND(ISBLANK(R20:R24)),AND(ISBLANK(AF20:AF24))), "·", bdRateExtend( M20:M24,R20:R24, AA20:AA24,AF20:AF24))</f>
        <v/>
      </c>
      <c r="AQ20" s="41">
        <f t="array" ref="AQ20">IF( OR(AND(ISBLANK(M20:M24)),AND(ISBLANK(AA20:AA24)), AND(ISBLANK(S20:S24)),AND(ISBLANK(AG20:AG24))), "·", bdRateExtend( M20:M24,S20:S24, AA20:AA24,AG20:AG24))</f>
        <v/>
      </c>
      <c r="AR20" s="41">
        <f t="array" ref="AR20">IF( OR(AND(ISBLANK(M20:M24)),AND(ISBLANK(AA20:AA24)), AND(ISBLANK(T20:T24)),AND(ISBLANK(AH20:AH24))), "·", bdRateExtend( M20:M24,T20:T24, AA20:AA24,AH20:AH24))</f>
        <v/>
      </c>
    </row>
    <row r="21" outlineLevel="1" s="5">
      <c r="A21" s="74" t="n"/>
      <c r="B21" s="74" t="inlineStr">
        <is>
          <t>dancer_voxelised</t>
        </is>
      </c>
      <c r="C21" s="20" t="inlineStr">
        <is>
          <t>r02</t>
        </is>
      </c>
      <c r="D21" s="74" t="n">
        <v>11812090</v>
      </c>
      <c r="E21" s="19" t="n">
        <v>12</v>
      </c>
      <c r="F21" s="20" t="n">
        <v>4</v>
      </c>
      <c r="G21" s="20" t="n">
        <v>30</v>
      </c>
      <c r="H21" s="20" t="n">
        <v>5</v>
      </c>
      <c r="J21" s="21">
        <f>IF(OR(ISBLANK(M21),ISBLANK(G21)),"·",M21*G21/F21/1000000)</f>
        <v/>
      </c>
      <c r="K21" s="22">
        <f>IF(ISBLANK(M21),"·",M21/D21)</f>
        <v/>
      </c>
      <c r="L21" s="45" t="n">
        <v>302208</v>
      </c>
      <c r="M21" s="23" t="n">
        <v>668000</v>
      </c>
      <c r="N21" s="46" t="n">
        <v>73.80026030000001</v>
      </c>
      <c r="O21" s="46" t="n">
        <v>75.5791213</v>
      </c>
      <c r="P21" s="46" t="n">
        <v>35.8017194</v>
      </c>
      <c r="Q21" s="46" t="n">
        <v>43.9193377</v>
      </c>
      <c r="R21" s="46" t="n">
        <v>45.7906418</v>
      </c>
      <c r="S21" s="46" t="n">
        <v>50.086351</v>
      </c>
      <c r="T21" s="46" t="n">
        <v>32.9594674</v>
      </c>
      <c r="U21" s="24" t="n">
        <v>116.846576</v>
      </c>
      <c r="V21" s="24" t="n">
        <v>1.4253516</v>
      </c>
      <c r="X21" s="21">
        <f>IF(OR(ISBLANK(AA21),ISBLANK(G21)),"·",AA21*G21/F21/1000000)</f>
        <v/>
      </c>
      <c r="Y21" s="22">
        <f>IF(ISBLANK(AA21),"·",AA21/D21)</f>
        <v/>
      </c>
      <c r="Z21" s="45" t="n">
        <v>302208</v>
      </c>
      <c r="AA21" s="23" t="n">
        <v>466712</v>
      </c>
      <c r="AB21" s="46" t="n">
        <v>73.80026030000001</v>
      </c>
      <c r="AC21" s="46" t="n">
        <v>75.5791213</v>
      </c>
      <c r="AD21" s="46" t="n">
        <v>32.9284646</v>
      </c>
      <c r="AE21" s="46" t="n">
        <v>42.6563964</v>
      </c>
      <c r="AF21" s="46" t="n">
        <v>43.7826275</v>
      </c>
      <c r="AG21" s="46" t="n">
        <v>50.086351</v>
      </c>
      <c r="AH21" s="46" t="n">
        <v>31.3875041</v>
      </c>
      <c r="AI21" s="24" t="n">
        <v>99.57419899999999</v>
      </c>
      <c r="AJ21" s="24" t="n">
        <v>1.06146062</v>
      </c>
      <c r="AL21" s="25" t="n"/>
      <c r="AM21" s="25" t="n"/>
      <c r="AN21" s="25" t="n"/>
      <c r="AO21" s="25" t="n"/>
      <c r="AP21" s="25" t="n"/>
      <c r="AQ21" s="25" t="n"/>
      <c r="AR21" s="25" t="n"/>
    </row>
    <row r="22" outlineLevel="1" s="5">
      <c r="A22" s="75" t="n"/>
      <c r="B22" s="75" t="inlineStr">
        <is>
          <t>dancer_voxelised</t>
        </is>
      </c>
      <c r="C22" s="36" t="inlineStr">
        <is>
          <t>r03</t>
        </is>
      </c>
      <c r="D22" s="75" t="n">
        <v>11812090</v>
      </c>
      <c r="E22" s="35" t="n">
        <v>12</v>
      </c>
      <c r="F22" s="36" t="n">
        <v>4</v>
      </c>
      <c r="G22" s="36" t="n">
        <v>30</v>
      </c>
      <c r="H22" s="36" t="n">
        <v>10</v>
      </c>
      <c r="J22" s="37">
        <f>IF(OR(ISBLANK(M22),ISBLANK(G22)),"·",M22*G22/F22/1000000)</f>
        <v/>
      </c>
      <c r="K22" s="38">
        <f>IF(ISBLANK(M22),"·",M22/D22)</f>
        <v/>
      </c>
      <c r="L22" s="47" t="n">
        <v>604352</v>
      </c>
      <c r="M22" s="39" t="n">
        <v>1273400</v>
      </c>
      <c r="N22" s="48" t="n">
        <v>77.4019033</v>
      </c>
      <c r="O22" s="48" t="n">
        <v>79.879474</v>
      </c>
      <c r="P22" s="48" t="n">
        <v>38.8424789</v>
      </c>
      <c r="Q22" s="48" t="n">
        <v>44.9324811</v>
      </c>
      <c r="R22" s="48" t="n">
        <v>47.4126144</v>
      </c>
      <c r="S22" s="48" t="n">
        <v>51.909928</v>
      </c>
      <c r="T22" s="48" t="n">
        <v>35.8628665</v>
      </c>
      <c r="U22" s="40" t="n">
        <v>124.896227</v>
      </c>
      <c r="V22" s="40" t="n">
        <v>1.41420155</v>
      </c>
      <c r="X22" s="37">
        <f>IF(OR(ISBLANK(AA22),ISBLANK(G22)),"·",AA22*G22/F22/1000000)</f>
        <v/>
      </c>
      <c r="Y22" s="38">
        <f>IF(ISBLANK(AA22),"·",AA22/D22)</f>
        <v/>
      </c>
      <c r="Z22" s="47" t="n">
        <v>604352</v>
      </c>
      <c r="AA22" s="39" t="n">
        <v>881168</v>
      </c>
      <c r="AB22" s="48" t="n">
        <v>77.4019033</v>
      </c>
      <c r="AC22" s="48" t="n">
        <v>79.879474</v>
      </c>
      <c r="AD22" s="48" t="n">
        <v>36.0635083</v>
      </c>
      <c r="AE22" s="48" t="n">
        <v>43.714565</v>
      </c>
      <c r="AF22" s="48" t="n">
        <v>45.4759722</v>
      </c>
      <c r="AG22" s="48" t="n">
        <v>51.909928</v>
      </c>
      <c r="AH22" s="48" t="n">
        <v>34.3387555</v>
      </c>
      <c r="AI22" s="40" t="n">
        <v>117.654133</v>
      </c>
      <c r="AJ22" s="40" t="n">
        <v>1.16766373</v>
      </c>
      <c r="AL22" s="41" t="n"/>
      <c r="AM22" s="41" t="n"/>
      <c r="AN22" s="41" t="n"/>
      <c r="AO22" s="41" t="n"/>
      <c r="AP22" s="41" t="n"/>
      <c r="AQ22" s="41" t="n"/>
      <c r="AR22" s="41" t="n"/>
    </row>
    <row r="23" outlineLevel="1" s="5">
      <c r="A23" s="74" t="n"/>
      <c r="B23" s="74" t="inlineStr">
        <is>
          <t>dancer_voxelised</t>
        </is>
      </c>
      <c r="C23" s="20" t="inlineStr">
        <is>
          <t>r04</t>
        </is>
      </c>
      <c r="D23" s="74" t="n">
        <v>11812090</v>
      </c>
      <c r="E23" s="19" t="n">
        <v>12</v>
      </c>
      <c r="F23" s="20" t="n">
        <v>4</v>
      </c>
      <c r="G23" s="20" t="n">
        <v>30</v>
      </c>
      <c r="H23" s="20" t="n">
        <v>14</v>
      </c>
      <c r="J23" s="21">
        <f>IF(OR(ISBLANK(M23),ISBLANK(G23)),"·",M23*G23/F23/1000000)</f>
        <v/>
      </c>
      <c r="K23" s="22">
        <f>IF(ISBLANK(M23),"·",M23/D23)</f>
        <v/>
      </c>
      <c r="L23" s="45" t="n">
        <v>75553</v>
      </c>
      <c r="M23" s="23" t="n">
        <v>1814944</v>
      </c>
      <c r="N23" s="46" t="n">
        <v>83.6946471</v>
      </c>
      <c r="O23" s="46" t="n">
        <v>87.4752763</v>
      </c>
      <c r="P23" s="46" t="n">
        <v>38.9717463</v>
      </c>
      <c r="Q23" s="46" t="n">
        <v>44.8729972</v>
      </c>
      <c r="R23" s="46" t="n">
        <v>47.3765018</v>
      </c>
      <c r="S23" s="46" t="n">
        <v>56.5161471</v>
      </c>
      <c r="T23" s="46" t="n">
        <v>37.9242702</v>
      </c>
      <c r="U23" s="24" t="n">
        <v>225.256645</v>
      </c>
      <c r="V23" s="24" t="n">
        <v>1.41518868</v>
      </c>
      <c r="X23" s="21">
        <f>IF(OR(ISBLANK(AA23),ISBLANK(G23)),"·",AA23*G23/F23/1000000)</f>
        <v/>
      </c>
      <c r="Y23" s="22">
        <f>IF(ISBLANK(AA23),"·",AA23/D23)</f>
        <v/>
      </c>
      <c r="Z23" s="45" t="n">
        <v>75553</v>
      </c>
      <c r="AA23" s="23" t="n">
        <v>1427488</v>
      </c>
      <c r="AB23" s="46" t="n">
        <v>83.6946471</v>
      </c>
      <c r="AC23" s="46" t="n">
        <v>87.4752763</v>
      </c>
      <c r="AD23" s="46" t="n">
        <v>36.0999734</v>
      </c>
      <c r="AE23" s="46" t="n">
        <v>43.647096</v>
      </c>
      <c r="AF23" s="46" t="n">
        <v>45.5241463</v>
      </c>
      <c r="AG23" s="46" t="n">
        <v>56.5161471</v>
      </c>
      <c r="AH23" s="46" t="n">
        <v>35.5771619</v>
      </c>
      <c r="AI23" s="24" t="n">
        <v>249.581186</v>
      </c>
      <c r="AJ23" s="24" t="n">
        <v>0.702767108</v>
      </c>
      <c r="AL23" s="25" t="n"/>
      <c r="AM23" s="25" t="n"/>
      <c r="AN23" s="25" t="n"/>
      <c r="AO23" s="25" t="n"/>
      <c r="AP23" s="25" t="n"/>
      <c r="AQ23" s="25" t="n"/>
      <c r="AR23" s="25" t="n"/>
    </row>
    <row r="24" outlineLevel="1" ht="15.75" customHeight="1" s="5" thickBot="1">
      <c r="A24" s="26" t="n"/>
      <c r="B24" s="26" t="inlineStr">
        <is>
          <t>dancer_voxelised</t>
        </is>
      </c>
      <c r="C24" s="28" t="inlineStr">
        <is>
          <t>r05</t>
        </is>
      </c>
      <c r="D24" s="26" t="n">
        <v>11812090</v>
      </c>
      <c r="E24" s="27" t="n">
        <v>12</v>
      </c>
      <c r="F24" s="28" t="n">
        <v>4</v>
      </c>
      <c r="G24" s="28" t="n">
        <v>30</v>
      </c>
      <c r="H24" s="28" t="n">
        <v>21</v>
      </c>
      <c r="J24" s="29">
        <f>IF(OR(ISBLANK(M24),ISBLANK(G24)),"·",M24*G24/F24/1000000)</f>
        <v/>
      </c>
      <c r="K24" s="30">
        <f>IF(ISBLANK(M24),"·",M24/D24)</f>
        <v/>
      </c>
      <c r="L24" s="59" t="n">
        <v>75553</v>
      </c>
      <c r="M24" s="31" t="n">
        <v>2557208</v>
      </c>
      <c r="N24" s="60" t="n">
        <v>83.6946471</v>
      </c>
      <c r="O24" s="60" t="n">
        <v>87.4752763</v>
      </c>
      <c r="P24" s="60" t="n">
        <v>40.5175923</v>
      </c>
      <c r="Q24" s="60" t="n">
        <v>46.1518687</v>
      </c>
      <c r="R24" s="60" t="n">
        <v>49.1517157</v>
      </c>
      <c r="S24" s="60" t="n">
        <v>56.5161471</v>
      </c>
      <c r="T24" s="60" t="n">
        <v>39.0668688</v>
      </c>
      <c r="U24" s="32" t="n">
        <v>229.612054</v>
      </c>
      <c r="V24" s="32" t="n">
        <v>1.48571785</v>
      </c>
      <c r="X24" s="29">
        <f>IF(OR(ISBLANK(AA24),ISBLANK(G24)),"·",AA24*G24/F24/1000000)</f>
        <v/>
      </c>
      <c r="Y24" s="30">
        <f>IF(ISBLANK(AA24),"·",AA24/D24)</f>
        <v/>
      </c>
      <c r="Z24" s="59" t="n">
        <v>75553</v>
      </c>
      <c r="AA24" s="31" t="n">
        <v>1827320</v>
      </c>
      <c r="AB24" s="60" t="n">
        <v>83.6946471</v>
      </c>
      <c r="AC24" s="60" t="n">
        <v>87.4752763</v>
      </c>
      <c r="AD24" s="60" t="n">
        <v>37.7101727</v>
      </c>
      <c r="AE24" s="60" t="n">
        <v>44.8745477</v>
      </c>
      <c r="AF24" s="60" t="n">
        <v>47.4101361</v>
      </c>
      <c r="AG24" s="60" t="n">
        <v>56.5161471</v>
      </c>
      <c r="AH24" s="60" t="n">
        <v>36.9462789</v>
      </c>
      <c r="AI24" s="32" t="n">
        <v>215.755906</v>
      </c>
      <c r="AJ24" s="32" t="n">
        <v>1.07918777</v>
      </c>
      <c r="AL24" s="33" t="n"/>
      <c r="AM24" s="33" t="n"/>
      <c r="AN24" s="33" t="n"/>
      <c r="AO24" s="33" t="n"/>
      <c r="AP24" s="33" t="n"/>
      <c r="AQ24" s="33" t="n"/>
      <c r="AR24" s="33" t="n"/>
    </row>
    <row r="25">
      <c r="A25" s="74" t="inlineStr">
        <is>
          <t>cat1-C</t>
        </is>
      </c>
      <c r="B25" s="74" t="inlineStr">
        <is>
          <t>football_voxelised</t>
        </is>
      </c>
      <c r="C25" s="20" t="inlineStr">
        <is>
          <t>r01</t>
        </is>
      </c>
      <c r="D25" s="74" t="n">
        <v>12000000</v>
      </c>
      <c r="E25" s="19" t="n">
        <v>12</v>
      </c>
      <c r="F25" s="20" t="n">
        <v>4</v>
      </c>
      <c r="G25" s="20" t="n">
        <v>30</v>
      </c>
      <c r="H25" s="20" t="n">
        <v>4</v>
      </c>
      <c r="J25" s="21">
        <f>IF(OR(ISBLANK(M25),ISBLANK(G25)),"·",M25*G25/F25/1000000)</f>
        <v/>
      </c>
      <c r="K25" s="22">
        <f>IF(ISBLANK(M25),"·",M25/D25)</f>
        <v/>
      </c>
      <c r="L25" s="45" t="n">
        <v>305920</v>
      </c>
      <c r="M25" s="23" t="n">
        <v>517296</v>
      </c>
      <c r="N25" s="46" t="n">
        <v>67.2497709</v>
      </c>
      <c r="O25" s="46" t="n">
        <v>69.7453628</v>
      </c>
      <c r="P25" s="46" t="n">
        <v>30.0205464</v>
      </c>
      <c r="Q25" s="46" t="n">
        <v>40.773184</v>
      </c>
      <c r="R25" s="46" t="n">
        <v>37.51896</v>
      </c>
      <c r="S25" s="46" t="n">
        <v>43.0606027</v>
      </c>
      <c r="T25" s="46" t="n">
        <v>26.7646284</v>
      </c>
      <c r="U25" s="24" t="n">
        <v>136.701356</v>
      </c>
      <c r="V25" s="24" t="n">
        <v>1.33170847</v>
      </c>
      <c r="X25" s="21">
        <f>IF(OR(ISBLANK(AA25),ISBLANK(G25)),"·",AA25*G25/F25/1000000)</f>
        <v/>
      </c>
      <c r="Y25" s="22">
        <f>IF(ISBLANK(AA25),"·",AA25/D25)</f>
        <v/>
      </c>
      <c r="Z25" s="45" t="n">
        <v>305920</v>
      </c>
      <c r="AA25" s="23" t="n">
        <v>320072</v>
      </c>
      <c r="AB25" s="46" t="n">
        <v>67.2497709</v>
      </c>
      <c r="AC25" s="46" t="n">
        <v>69.7453628</v>
      </c>
      <c r="AD25" s="46" t="n">
        <v>28.1165932</v>
      </c>
      <c r="AE25" s="46" t="n">
        <v>38.8967273</v>
      </c>
      <c r="AF25" s="46" t="n">
        <v>34.9295053</v>
      </c>
      <c r="AG25" s="46" t="n">
        <v>43.0606027</v>
      </c>
      <c r="AH25" s="46" t="n">
        <v>26.009959</v>
      </c>
      <c r="AI25" s="24" t="n">
        <v>106.909614</v>
      </c>
      <c r="AJ25" s="24" t="n">
        <v>1.02847261</v>
      </c>
      <c r="AL25" s="25">
        <f t="array" ref="AL25">IF( OR(AND(ISBLANK(M25:M29)),AND(ISBLANK(AA25:AA29)), AND(ISBLANK(N25:N29)),AND(ISBLANK(AB25:AB29))), "·", bdRateExtend( M25:M29,N25:N29, AA25:AA29,AB25:AB29))</f>
        <v/>
      </c>
      <c r="AM25" s="25">
        <f t="array" ref="AM25">IF( OR(AND(ISBLANK(M25:M29)),AND(ISBLANK(AA25:AA29)), AND(ISBLANK(O25:O29)),AND(ISBLANK(AC25:AC29))), "·", bdRateExtend( M25:M29,O25:O29, AA25:AA29,AC25:AC29))</f>
        <v/>
      </c>
      <c r="AN25" s="25">
        <f t="array" ref="AN25">IF( OR(AND(ISBLANK(M25:M29)),AND(ISBLANK(AA25:AA29)), AND(ISBLANK(P25:P29)),AND(ISBLANK(AD25:AD29))), "·", bdRateExtend( M25:M29,P25:P29, AA25:AA29,AD25:AD29))</f>
        <v/>
      </c>
      <c r="AO25" s="25">
        <f t="array" ref="AO25">IF( OR(AND(ISBLANK(M25:M29)),AND(ISBLANK(AA25:AA29)), AND(ISBLANK(Q25:Q29)),AND(ISBLANK(AE25:AE29))), "·", bdRateExtend( M25:M29,Q25:Q29, AA25:AA29,AE25:AE29))</f>
        <v/>
      </c>
      <c r="AP25" s="25">
        <f t="array" ref="AP25">IF( OR(AND(ISBLANK(M25:M29)),AND(ISBLANK(AA25:AA29)), AND(ISBLANK(R25:R29)),AND(ISBLANK(AF25:AF29))), "·", bdRateExtend( M25:M29,R25:R29, AA25:AA29,AF25:AF29))</f>
        <v/>
      </c>
      <c r="AQ25" s="25">
        <f t="array" ref="AQ25">IF( OR(AND(ISBLANK(M25:M29)),AND(ISBLANK(AA25:AA29)), AND(ISBLANK(S25:S29)),AND(ISBLANK(AG25:AG29))), "·", bdRateExtend( M25:M29,S25:S29, AA25:AA29,AG25:AG29))</f>
        <v/>
      </c>
      <c r="AR25" s="25">
        <f t="array" ref="AR25">IF( OR(AND(ISBLANK(M25:M29)),AND(ISBLANK(AA25:AA29)), AND(ISBLANK(T25:T29)),AND(ISBLANK(AH25:AH29))), "·", bdRateExtend( M25:M29,T25:T29, AA25:AA29,AH25:AH29))</f>
        <v/>
      </c>
    </row>
    <row r="26" outlineLevel="1" s="5">
      <c r="A26" s="75" t="n"/>
      <c r="B26" s="75" t="inlineStr">
        <is>
          <t>football_voxelised</t>
        </is>
      </c>
      <c r="C26" s="36" t="inlineStr">
        <is>
          <t>r02</t>
        </is>
      </c>
      <c r="D26" s="75" t="n">
        <v>12000000</v>
      </c>
      <c r="E26" s="35" t="n">
        <v>12</v>
      </c>
      <c r="F26" s="36" t="n">
        <v>4</v>
      </c>
      <c r="G26" s="36" t="n">
        <v>30</v>
      </c>
      <c r="H26" s="36" t="n">
        <v>8</v>
      </c>
      <c r="J26" s="37">
        <f>IF(OR(ISBLANK(M26),ISBLANK(G26)),"·",M26*G26/F26/1000000)</f>
        <v/>
      </c>
      <c r="K26" s="38">
        <f>IF(ISBLANK(M26),"·",M26/D26)</f>
        <v/>
      </c>
      <c r="L26" s="47" t="n">
        <v>613696</v>
      </c>
      <c r="M26" s="39" t="n">
        <v>1026856</v>
      </c>
      <c r="N26" s="48" t="n">
        <v>72.8873533</v>
      </c>
      <c r="O26" s="48" t="n">
        <v>75.1384687</v>
      </c>
      <c r="P26" s="48" t="n">
        <v>32.8251594</v>
      </c>
      <c r="Q26" s="48" t="n">
        <v>42.3477387</v>
      </c>
      <c r="R26" s="48" t="n">
        <v>39.649727</v>
      </c>
      <c r="S26" s="48" t="n">
        <v>45.2867317</v>
      </c>
      <c r="T26" s="48" t="n">
        <v>29.5486551</v>
      </c>
      <c r="U26" s="40" t="n">
        <v>148.090112</v>
      </c>
      <c r="V26" s="40" t="n">
        <v>1.44600323</v>
      </c>
      <c r="X26" s="37">
        <f>IF(OR(ISBLANK(AA26),ISBLANK(G26)),"·",AA26*G26/F26/1000000)</f>
        <v/>
      </c>
      <c r="Y26" s="38">
        <f>IF(ISBLANK(AA26),"·",AA26/D26)</f>
        <v/>
      </c>
      <c r="Z26" s="47" t="n">
        <v>613696</v>
      </c>
      <c r="AA26" s="39" t="n">
        <v>645104</v>
      </c>
      <c r="AB26" s="48" t="n">
        <v>72.8873533</v>
      </c>
      <c r="AC26" s="48" t="n">
        <v>75.1384687</v>
      </c>
      <c r="AD26" s="48" t="n">
        <v>30.7928386</v>
      </c>
      <c r="AE26" s="48" t="n">
        <v>40.4537776</v>
      </c>
      <c r="AF26" s="48" t="n">
        <v>37.0805989</v>
      </c>
      <c r="AG26" s="48" t="n">
        <v>45.2867317</v>
      </c>
      <c r="AH26" s="48" t="n">
        <v>28.6232956</v>
      </c>
      <c r="AI26" s="40" t="n">
        <v>130.387685</v>
      </c>
      <c r="AJ26" s="40" t="n">
        <v>1.06147291</v>
      </c>
      <c r="AL26" s="41" t="n"/>
      <c r="AM26" s="41" t="n"/>
      <c r="AN26" s="41" t="n"/>
      <c r="AO26" s="41" t="n"/>
      <c r="AP26" s="41" t="n"/>
      <c r="AQ26" s="41" t="n"/>
      <c r="AR26" s="41" t="n"/>
    </row>
    <row r="27" outlineLevel="1" s="5">
      <c r="A27" s="74" t="n"/>
      <c r="B27" s="74" t="inlineStr">
        <is>
          <t>football_voxelised</t>
        </is>
      </c>
      <c r="C27" s="20" t="inlineStr">
        <is>
          <t>r03</t>
        </is>
      </c>
      <c r="D27" s="74" t="n">
        <v>12000000</v>
      </c>
      <c r="E27" s="19" t="n">
        <v>12</v>
      </c>
      <c r="F27" s="20" t="n">
        <v>4</v>
      </c>
      <c r="G27" s="20" t="n">
        <v>30</v>
      </c>
      <c r="H27" s="20" t="n">
        <v>12</v>
      </c>
      <c r="J27" s="21">
        <f>IF(OR(ISBLANK(M27),ISBLANK(G27)),"·",M27*G27/F27/1000000)</f>
        <v/>
      </c>
      <c r="K27" s="22">
        <f>IF(ISBLANK(M27),"·",M27/D27)</f>
        <v/>
      </c>
      <c r="L27" s="45" t="n">
        <v>614336</v>
      </c>
      <c r="M27" s="23" t="n">
        <v>1581984</v>
      </c>
      <c r="N27" s="46" t="n">
        <v>80.33282320000001</v>
      </c>
      <c r="O27" s="46" t="n">
        <v>83.6485065</v>
      </c>
      <c r="P27" s="46" t="n">
        <v>33.7126434</v>
      </c>
      <c r="Q27" s="46" t="n">
        <v>42.925678</v>
      </c>
      <c r="R27" s="46" t="n">
        <v>40.6102749</v>
      </c>
      <c r="S27" s="46" t="n">
        <v>49.2353951</v>
      </c>
      <c r="T27" s="46" t="n">
        <v>32.4089566</v>
      </c>
      <c r="U27" s="24" t="n">
        <v>483.876323</v>
      </c>
      <c r="V27" s="24" t="n">
        <v>5.40302928</v>
      </c>
      <c r="X27" s="21">
        <f>IF(OR(ISBLANK(AA27),ISBLANK(G27)),"·",AA27*G27/F27/1000000)</f>
        <v/>
      </c>
      <c r="Y27" s="22">
        <f>IF(ISBLANK(AA27),"·",AA27/D27)</f>
        <v/>
      </c>
      <c r="Z27" s="45" t="n">
        <v>614336</v>
      </c>
      <c r="AA27" s="23" t="n">
        <v>881536</v>
      </c>
      <c r="AB27" s="46" t="n">
        <v>80.33282320000001</v>
      </c>
      <c r="AC27" s="46" t="n">
        <v>83.6485065</v>
      </c>
      <c r="AD27" s="46" t="n">
        <v>29.2167194</v>
      </c>
      <c r="AE27" s="46" t="n">
        <v>39.3669016</v>
      </c>
      <c r="AF27" s="46" t="n">
        <v>35.4922832</v>
      </c>
      <c r="AG27" s="46" t="n">
        <v>49.2353951</v>
      </c>
      <c r="AH27" s="46" t="n">
        <v>28.7117402</v>
      </c>
      <c r="AI27" s="24" t="n">
        <v>211.202954</v>
      </c>
      <c r="AJ27" s="24" t="n">
        <v>0.758889135</v>
      </c>
      <c r="AL27" s="25" t="n"/>
      <c r="AM27" s="25" t="n"/>
      <c r="AN27" s="25" t="n"/>
      <c r="AO27" s="25" t="n"/>
      <c r="AP27" s="25" t="n"/>
      <c r="AQ27" s="25" t="n"/>
      <c r="AR27" s="25" t="n"/>
    </row>
    <row r="28" outlineLevel="1" s="5">
      <c r="A28" s="75" t="n"/>
      <c r="B28" s="75" t="inlineStr">
        <is>
          <t>football_voxelised</t>
        </is>
      </c>
      <c r="C28" s="36" t="inlineStr">
        <is>
          <t>r04</t>
        </is>
      </c>
      <c r="D28" s="75" t="n">
        <v>12000000</v>
      </c>
      <c r="E28" s="35" t="n">
        <v>12</v>
      </c>
      <c r="F28" s="36" t="n">
        <v>4</v>
      </c>
      <c r="G28" s="36" t="n">
        <v>30</v>
      </c>
      <c r="H28" s="36" t="n">
        <v>17</v>
      </c>
      <c r="J28" s="37">
        <f>IF(OR(ISBLANK(M28),ISBLANK(G28)),"·",M28*G28/F28/1000000)</f>
        <v/>
      </c>
      <c r="K28" s="38">
        <f>IF(ISBLANK(M28),"·",M28/D28)</f>
        <v/>
      </c>
      <c r="L28" s="47" t="n">
        <v>76797</v>
      </c>
      <c r="M28" s="39" t="n">
        <v>2120536</v>
      </c>
      <c r="N28" s="48" t="n">
        <v>82.405143</v>
      </c>
      <c r="O28" s="48" t="n">
        <v>86.5067107</v>
      </c>
      <c r="P28" s="48" t="n">
        <v>34.4235242</v>
      </c>
      <c r="Q28" s="48" t="n">
        <v>43.2128216</v>
      </c>
      <c r="R28" s="48" t="n">
        <v>41.0611623</v>
      </c>
      <c r="S28" s="48" t="n">
        <v>51.5076217</v>
      </c>
      <c r="T28" s="48" t="n">
        <v>33.4856827</v>
      </c>
      <c r="U28" s="40" t="n">
        <v>552.114051</v>
      </c>
      <c r="V28" s="40" t="n">
        <v>5.38833604</v>
      </c>
      <c r="X28" s="37">
        <f>IF(OR(ISBLANK(AA28),ISBLANK(G28)),"·",AA28*G28/F28/1000000)</f>
        <v/>
      </c>
      <c r="Y28" s="38">
        <f>IF(ISBLANK(AA28),"·",AA28/D28)</f>
        <v/>
      </c>
      <c r="Z28" s="47" t="n">
        <v>76797</v>
      </c>
      <c r="AA28" s="39" t="n">
        <v>1293400</v>
      </c>
      <c r="AB28" s="48" t="n">
        <v>82.405143</v>
      </c>
      <c r="AC28" s="48" t="n">
        <v>86.5067107</v>
      </c>
      <c r="AD28" s="48" t="n">
        <v>29.9892565</v>
      </c>
      <c r="AE28" s="48" t="n">
        <v>39.7133161</v>
      </c>
      <c r="AF28" s="48" t="n">
        <v>36.031508</v>
      </c>
      <c r="AG28" s="48" t="n">
        <v>51.5076217</v>
      </c>
      <c r="AH28" s="48" t="n">
        <v>29.5969636</v>
      </c>
      <c r="AI28" s="40" t="n">
        <v>324.267752</v>
      </c>
      <c r="AJ28" s="40" t="n">
        <v>0.578453711</v>
      </c>
      <c r="AL28" s="41" t="n"/>
      <c r="AM28" s="41" t="n"/>
      <c r="AN28" s="41" t="n"/>
      <c r="AO28" s="41" t="n"/>
      <c r="AP28" s="41" t="n"/>
      <c r="AQ28" s="41" t="n"/>
      <c r="AR28" s="41" t="n"/>
    </row>
    <row r="29" outlineLevel="1" ht="15.75" customHeight="1" s="5" thickBot="1">
      <c r="A29" s="74" t="n"/>
      <c r="B29" s="49" t="inlineStr">
        <is>
          <t>football_voxelised</t>
        </is>
      </c>
      <c r="C29" s="50" t="inlineStr">
        <is>
          <t>r05</t>
        </is>
      </c>
      <c r="D29" s="49" t="n">
        <v>12000000</v>
      </c>
      <c r="E29" s="51" t="n">
        <v>12</v>
      </c>
      <c r="F29" s="50" t="n">
        <v>4</v>
      </c>
      <c r="G29" s="50" t="n">
        <v>30</v>
      </c>
      <c r="H29" s="50" t="n">
        <v>25</v>
      </c>
      <c r="J29" s="52">
        <f>IF(OR(ISBLANK(M29),ISBLANK(G29)),"·",M29*G29/F29/1000000)</f>
        <v/>
      </c>
      <c r="K29" s="53">
        <f>IF(ISBLANK(M29),"·",M29/D29)</f>
        <v/>
      </c>
      <c r="L29" s="54" t="n">
        <v>115198</v>
      </c>
      <c r="M29" s="55" t="n">
        <v>3187632</v>
      </c>
      <c r="N29" s="56" t="n">
        <v>86.2738019</v>
      </c>
      <c r="O29" s="56" t="n">
        <v>91.6741052</v>
      </c>
      <c r="P29" s="56" t="n">
        <v>35.5861687</v>
      </c>
      <c r="Q29" s="56" t="n">
        <v>43.890853</v>
      </c>
      <c r="R29" s="56" t="n">
        <v>41.9434094</v>
      </c>
      <c r="S29" s="56" t="n">
        <v>56.24233</v>
      </c>
      <c r="T29" s="56" t="n">
        <v>35.1546647</v>
      </c>
      <c r="U29" s="57" t="n">
        <v>660.478551</v>
      </c>
      <c r="V29" s="57" t="n">
        <v>5.56102285</v>
      </c>
      <c r="X29" s="52">
        <f>IF(OR(ISBLANK(AA29),ISBLANK(G29)),"·",AA29*G29/F29/1000000)</f>
        <v/>
      </c>
      <c r="Y29" s="53">
        <f>IF(ISBLANK(AA29),"·",AA29/D29)</f>
        <v/>
      </c>
      <c r="Z29" s="54" t="n">
        <v>115198</v>
      </c>
      <c r="AA29" s="55" t="n">
        <v>1878280</v>
      </c>
      <c r="AB29" s="56" t="n">
        <v>86.2738019</v>
      </c>
      <c r="AC29" s="56" t="n">
        <v>91.6741052</v>
      </c>
      <c r="AD29" s="56" t="n">
        <v>31.3509016</v>
      </c>
      <c r="AE29" s="56" t="n">
        <v>40.4468954</v>
      </c>
      <c r="AF29" s="56" t="n">
        <v>36.9616011</v>
      </c>
      <c r="AG29" s="56" t="n">
        <v>56.24233</v>
      </c>
      <c r="AH29" s="56" t="n">
        <v>31.0950358</v>
      </c>
      <c r="AI29" s="57" t="n">
        <v>387.588811</v>
      </c>
      <c r="AJ29" s="57" t="n">
        <v>0.67797454</v>
      </c>
      <c r="AL29" s="58" t="n"/>
      <c r="AM29" s="58" t="n"/>
      <c r="AN29" s="58" t="n"/>
      <c r="AO29" s="58" t="n"/>
      <c r="AP29" s="58" t="n"/>
      <c r="AQ29" s="58" t="n"/>
      <c r="AR29" s="58" t="n"/>
    </row>
    <row r="30">
      <c r="A30" s="75" t="n"/>
      <c r="B30" s="75" t="inlineStr">
        <is>
          <t>levi_voxelised</t>
        </is>
      </c>
      <c r="C30" s="36" t="inlineStr">
        <is>
          <t>r01</t>
        </is>
      </c>
      <c r="D30" s="75" t="n">
        <v>5997654</v>
      </c>
      <c r="E30" s="35" t="n">
        <v>12</v>
      </c>
      <c r="F30" s="36" t="n">
        <v>4</v>
      </c>
      <c r="G30" s="36" t="n">
        <v>30</v>
      </c>
      <c r="H30" s="36" t="n">
        <v>4</v>
      </c>
      <c r="J30" s="37">
        <f>IF(OR(ISBLANK(M30),ISBLANK(G30)),"·",M30*G30/F30/1000000)</f>
        <v/>
      </c>
      <c r="K30" s="38">
        <f>IF(ISBLANK(M30),"·",M30/D30)</f>
        <v/>
      </c>
      <c r="L30" s="47" t="n">
        <v>302080</v>
      </c>
      <c r="M30" s="39" t="n">
        <v>509584</v>
      </c>
      <c r="N30" s="48" t="n">
        <v>70.7239265</v>
      </c>
      <c r="O30" s="48" t="n">
        <v>72.09599710000001</v>
      </c>
      <c r="P30" s="48" t="n">
        <v>36.6996537</v>
      </c>
      <c r="Q30" s="48" t="n">
        <v>43.7701247</v>
      </c>
      <c r="R30" s="48" t="n">
        <v>42.229068</v>
      </c>
      <c r="S30" s="48" t="n">
        <v>46.2502675</v>
      </c>
      <c r="T30" s="48" t="n">
        <v>33.2844083</v>
      </c>
      <c r="U30" s="40" t="n">
        <v>252.261096</v>
      </c>
      <c r="V30" s="40" t="n">
        <v>1.38231847</v>
      </c>
      <c r="X30" s="37">
        <f>IF(OR(ISBLANK(AA30),ISBLANK(G30)),"·",AA30*G30/F30/1000000)</f>
        <v/>
      </c>
      <c r="Y30" s="38">
        <f>IF(ISBLANK(AA30),"·",AA30/D30)</f>
        <v/>
      </c>
      <c r="Z30" s="47" t="n">
        <v>302080</v>
      </c>
      <c r="AA30" s="39" t="n">
        <v>327120</v>
      </c>
      <c r="AB30" s="48" t="n">
        <v>70.7239265</v>
      </c>
      <c r="AC30" s="48" t="n">
        <v>72.09599710000001</v>
      </c>
      <c r="AD30" s="48" t="n">
        <v>34.6113931</v>
      </c>
      <c r="AE30" s="48" t="n">
        <v>42.1583924</v>
      </c>
      <c r="AF30" s="48" t="n">
        <v>40.2044116</v>
      </c>
      <c r="AG30" s="48" t="n">
        <v>46.2502675</v>
      </c>
      <c r="AH30" s="48" t="n">
        <v>32.3946698</v>
      </c>
      <c r="AI30" s="40" t="n">
        <v>187.359217</v>
      </c>
      <c r="AJ30" s="40" t="n">
        <v>0.670204128</v>
      </c>
      <c r="AL30" s="41">
        <f t="array" ref="AL30">IF( OR(AND(ISBLANK(M30:M34)),AND(ISBLANK(AA30:AA34)), AND(ISBLANK(N30:N34)),AND(ISBLANK(AB30:AB34))), "·", bdRateExtend( M30:M34,N30:N34, AA30:AA34,AB30:AB34))</f>
        <v/>
      </c>
      <c r="AM30" s="41">
        <f t="array" ref="AM30">IF( OR(AND(ISBLANK(M30:M34)),AND(ISBLANK(AA30:AA34)), AND(ISBLANK(O30:O34)),AND(ISBLANK(AC30:AC34))), "·", bdRateExtend( M30:M34,O30:O34, AA30:AA34,AC30:AC34))</f>
        <v/>
      </c>
      <c r="AN30" s="41">
        <f t="array" ref="AN30">IF( OR(AND(ISBLANK(M30:M34)),AND(ISBLANK(AA30:AA34)), AND(ISBLANK(P30:P34)),AND(ISBLANK(AD30:AD34))), "·", bdRateExtend( M30:M34,P30:P34, AA30:AA34,AD30:AD34))</f>
        <v/>
      </c>
      <c r="AO30" s="41">
        <f t="array" ref="AO30">IF( OR(AND(ISBLANK(M30:M34)),AND(ISBLANK(AA30:AA34)), AND(ISBLANK(Q30:Q34)),AND(ISBLANK(AE30:AE34))), "·", bdRateExtend( M30:M34,Q30:Q34, AA30:AA34,AE30:AE34))</f>
        <v/>
      </c>
      <c r="AP30" s="41">
        <f t="array" ref="AP30">IF( OR(AND(ISBLANK(M30:M34)),AND(ISBLANK(AA30:AA34)), AND(ISBLANK(R30:R34)),AND(ISBLANK(AF30:AF34))), "·", bdRateExtend( M30:M34,R30:R34, AA30:AA34,AF30:AF34))</f>
        <v/>
      </c>
      <c r="AQ30" s="41">
        <f t="array" ref="AQ30">IF( OR(AND(ISBLANK(M30:M34)),AND(ISBLANK(AA30:AA34)), AND(ISBLANK(S30:S34)),AND(ISBLANK(AG30:AG34))), "·", bdRateExtend( M30:M34,S30:S34, AA30:AA34,AG30:AG34))</f>
        <v/>
      </c>
      <c r="AR30" s="41">
        <f t="array" ref="AR30">IF( OR(AND(ISBLANK(M30:M34)),AND(ISBLANK(AA30:AA34)), AND(ISBLANK(T30:T34)),AND(ISBLANK(AH30:AH34))), "·", bdRateExtend( M30:M34,T30:T34, AA30:AA34,AH30:AH34))</f>
        <v/>
      </c>
    </row>
    <row r="31" outlineLevel="1" s="5">
      <c r="A31" s="74" t="n"/>
      <c r="B31" s="74" t="inlineStr">
        <is>
          <t>levi_voxelised</t>
        </is>
      </c>
      <c r="C31" s="20" t="inlineStr">
        <is>
          <t>r02</t>
        </is>
      </c>
      <c r="D31" s="74" t="n">
        <v>5997654</v>
      </c>
      <c r="E31" s="19" t="n">
        <v>12</v>
      </c>
      <c r="F31" s="20" t="n">
        <v>4</v>
      </c>
      <c r="G31" s="20" t="n">
        <v>30</v>
      </c>
      <c r="H31" s="20" t="n">
        <v>8</v>
      </c>
      <c r="J31" s="21">
        <f>IF(OR(ISBLANK(M31),ISBLANK(G31)),"·",M31*G31/F31/1000000)</f>
        <v/>
      </c>
      <c r="K31" s="22">
        <f>IF(ISBLANK(M31),"·",M31/D31)</f>
        <v/>
      </c>
      <c r="L31" s="45" t="n">
        <v>305760</v>
      </c>
      <c r="M31" s="23" t="n">
        <v>939064</v>
      </c>
      <c r="N31" s="46" t="n">
        <v>75.8362578</v>
      </c>
      <c r="O31" s="46" t="n">
        <v>77.8135297</v>
      </c>
      <c r="P31" s="46" t="n">
        <v>39.130055</v>
      </c>
      <c r="Q31" s="46" t="n">
        <v>45.3057059</v>
      </c>
      <c r="R31" s="46" t="n">
        <v>44.2211591</v>
      </c>
      <c r="S31" s="46" t="n">
        <v>49.0472625</v>
      </c>
      <c r="T31" s="46" t="n">
        <v>36.1781952</v>
      </c>
      <c r="U31" s="24" t="n">
        <v>771.813388</v>
      </c>
      <c r="V31" s="24" t="n">
        <v>4.77887067</v>
      </c>
      <c r="X31" s="21">
        <f>IF(OR(ISBLANK(AA31),ISBLANK(G31)),"·",AA31*G31/F31/1000000)</f>
        <v/>
      </c>
      <c r="Y31" s="22">
        <f>IF(ISBLANK(AA31),"·",AA31/D31)</f>
        <v/>
      </c>
      <c r="Z31" s="45" t="n">
        <v>305760</v>
      </c>
      <c r="AA31" s="23" t="n">
        <v>436168</v>
      </c>
      <c r="AB31" s="46" t="n">
        <v>75.8362578</v>
      </c>
      <c r="AC31" s="46" t="n">
        <v>77.8135297</v>
      </c>
      <c r="AD31" s="46" t="n">
        <v>34.4655332</v>
      </c>
      <c r="AE31" s="46" t="n">
        <v>42.1304816</v>
      </c>
      <c r="AF31" s="46" t="n">
        <v>40.1252502</v>
      </c>
      <c r="AG31" s="46" t="n">
        <v>49.0472625</v>
      </c>
      <c r="AH31" s="46" t="n">
        <v>33.4223487</v>
      </c>
      <c r="AI31" s="24" t="n">
        <v>202.438861</v>
      </c>
      <c r="AJ31" s="24" t="n">
        <v>0.66996723</v>
      </c>
      <c r="AL31" s="25" t="n"/>
      <c r="AM31" s="25" t="n"/>
      <c r="AN31" s="25" t="n"/>
      <c r="AO31" s="25" t="n"/>
      <c r="AP31" s="25" t="n"/>
      <c r="AQ31" s="25" t="n"/>
      <c r="AR31" s="25" t="n"/>
    </row>
    <row r="32" outlineLevel="1" s="5">
      <c r="A32" s="75" t="n"/>
      <c r="B32" s="75" t="inlineStr">
        <is>
          <t>levi_voxelised</t>
        </is>
      </c>
      <c r="C32" s="36" t="inlineStr">
        <is>
          <t>r03</t>
        </is>
      </c>
      <c r="D32" s="75" t="n">
        <v>5997654</v>
      </c>
      <c r="E32" s="35" t="n">
        <v>12</v>
      </c>
      <c r="F32" s="36" t="n">
        <v>4</v>
      </c>
      <c r="G32" s="36" t="n">
        <v>30</v>
      </c>
      <c r="H32" s="36" t="n">
        <v>12</v>
      </c>
      <c r="J32" s="37">
        <f>IF(OR(ISBLANK(M32),ISBLANK(G32)),"·",M32*G32/F32/1000000)</f>
        <v/>
      </c>
      <c r="K32" s="38">
        <f>IF(ISBLANK(M32),"·",M32/D32)</f>
        <v/>
      </c>
      <c r="L32" s="47" t="n">
        <v>305760</v>
      </c>
      <c r="M32" s="39" t="n">
        <v>1410112</v>
      </c>
      <c r="N32" s="48" t="n">
        <v>76.5542564</v>
      </c>
      <c r="O32" s="48" t="n">
        <v>78.6620727</v>
      </c>
      <c r="P32" s="48" t="n">
        <v>40.5137734</v>
      </c>
      <c r="Q32" s="48" t="n">
        <v>46.0587076</v>
      </c>
      <c r="R32" s="48" t="n">
        <v>45.059735</v>
      </c>
      <c r="S32" s="48" t="n">
        <v>49.5097115</v>
      </c>
      <c r="T32" s="48" t="n">
        <v>37.1036056</v>
      </c>
      <c r="U32" s="40" t="n">
        <v>854.1424019999999</v>
      </c>
      <c r="V32" s="40" t="n">
        <v>5.56588035</v>
      </c>
      <c r="X32" s="37">
        <f>IF(OR(ISBLANK(AA32),ISBLANK(G32)),"·",AA32*G32/F32/1000000)</f>
        <v/>
      </c>
      <c r="Y32" s="38">
        <f>IF(ISBLANK(AA32),"·",AA32/D32)</f>
        <v/>
      </c>
      <c r="Z32" s="47" t="n">
        <v>305760</v>
      </c>
      <c r="AA32" s="39" t="n">
        <v>568640</v>
      </c>
      <c r="AB32" s="48" t="n">
        <v>76.5542564</v>
      </c>
      <c r="AC32" s="48" t="n">
        <v>78.6620727</v>
      </c>
      <c r="AD32" s="48" t="n">
        <v>36.0430723</v>
      </c>
      <c r="AE32" s="48" t="n">
        <v>42.7551847</v>
      </c>
      <c r="AF32" s="48" t="n">
        <v>40.8628719</v>
      </c>
      <c r="AG32" s="48" t="n">
        <v>49.5097115</v>
      </c>
      <c r="AH32" s="48" t="n">
        <v>34.6855997</v>
      </c>
      <c r="AI32" s="40" t="n">
        <v>203.751294</v>
      </c>
      <c r="AJ32" s="40" t="n">
        <v>0.763847919</v>
      </c>
      <c r="AL32" s="41" t="n"/>
      <c r="AM32" s="41" t="n"/>
      <c r="AN32" s="41" t="n"/>
      <c r="AO32" s="41" t="n"/>
      <c r="AP32" s="41" t="n"/>
      <c r="AQ32" s="41" t="n"/>
      <c r="AR32" s="41" t="n"/>
    </row>
    <row r="33" outlineLevel="1" s="5">
      <c r="A33" s="74" t="n"/>
      <c r="B33" s="74" t="inlineStr">
        <is>
          <t>levi_voxelised</t>
        </is>
      </c>
      <c r="C33" s="20" t="inlineStr">
        <is>
          <t>r04</t>
        </is>
      </c>
      <c r="D33" s="74" t="n">
        <v>5997654</v>
      </c>
      <c r="E33" s="19" t="n">
        <v>12</v>
      </c>
      <c r="F33" s="20" t="n">
        <v>4</v>
      </c>
      <c r="G33" s="20" t="n">
        <v>30</v>
      </c>
      <c r="H33" s="20" t="n">
        <v>17</v>
      </c>
      <c r="J33" s="21">
        <f>IF(OR(ISBLANK(M33),ISBLANK(G33)),"·",M33*G33/F33/1000000)</f>
        <v/>
      </c>
      <c r="K33" s="22">
        <f>IF(ISBLANK(M33),"·",M33/D33)</f>
        <v/>
      </c>
      <c r="L33" s="45" t="n">
        <v>612976</v>
      </c>
      <c r="M33" s="23" t="n">
        <v>2046976</v>
      </c>
      <c r="N33" s="46" t="n">
        <v>80.62982770000001</v>
      </c>
      <c r="O33" s="46" t="n">
        <v>84.02982160000001</v>
      </c>
      <c r="P33" s="46" t="n">
        <v>41.5920187</v>
      </c>
      <c r="Q33" s="46" t="n">
        <v>46.9621706</v>
      </c>
      <c r="R33" s="46" t="n">
        <v>46.0859076</v>
      </c>
      <c r="S33" s="46" t="n">
        <v>51.9583348</v>
      </c>
      <c r="T33" s="46" t="n">
        <v>39.2894815</v>
      </c>
      <c r="U33" s="24" t="n">
        <v>937.115577</v>
      </c>
      <c r="V33" s="24" t="n">
        <v>5.56772753</v>
      </c>
      <c r="X33" s="21">
        <f>IF(OR(ISBLANK(AA33),ISBLANK(G33)),"·",AA33*G33/F33/1000000)</f>
        <v/>
      </c>
      <c r="Y33" s="22">
        <f>IF(ISBLANK(AA33),"·",AA33/D33)</f>
        <v/>
      </c>
      <c r="Z33" s="45" t="n">
        <v>612976</v>
      </c>
      <c r="AA33" s="23" t="n">
        <v>943416</v>
      </c>
      <c r="AB33" s="46" t="n">
        <v>80.62982770000001</v>
      </c>
      <c r="AC33" s="46" t="n">
        <v>84.02982160000001</v>
      </c>
      <c r="AD33" s="46" t="n">
        <v>36.8882981</v>
      </c>
      <c r="AE33" s="46" t="n">
        <v>43.511226</v>
      </c>
      <c r="AF33" s="46" t="n">
        <v>41.9250619</v>
      </c>
      <c r="AG33" s="46" t="n">
        <v>51.9583348</v>
      </c>
      <c r="AH33" s="46" t="n">
        <v>36.0911653</v>
      </c>
      <c r="AI33" s="24" t="n">
        <v>261.960439</v>
      </c>
      <c r="AJ33" s="24" t="n">
        <v>0.693191179</v>
      </c>
      <c r="AL33" s="25" t="n"/>
      <c r="AM33" s="25" t="n"/>
      <c r="AN33" s="25" t="n"/>
      <c r="AO33" s="25" t="n"/>
      <c r="AP33" s="25" t="n"/>
      <c r="AQ33" s="25" t="n"/>
      <c r="AR33" s="25" t="n"/>
    </row>
    <row r="34" outlineLevel="1" ht="15.75" customHeight="1" s="5" thickBot="1">
      <c r="A34" s="75" t="n"/>
      <c r="B34" s="26" t="inlineStr">
        <is>
          <t>levi_voxelised</t>
        </is>
      </c>
      <c r="C34" s="28" t="inlineStr">
        <is>
          <t>r05</t>
        </is>
      </c>
      <c r="D34" s="26" t="n">
        <v>5997654</v>
      </c>
      <c r="E34" s="27" t="n">
        <v>12</v>
      </c>
      <c r="F34" s="28" t="n">
        <v>4</v>
      </c>
      <c r="G34" s="28" t="n">
        <v>30</v>
      </c>
      <c r="H34" s="28" t="n">
        <v>25</v>
      </c>
      <c r="J34" s="29">
        <f>IF(OR(ISBLANK(M34),ISBLANK(G34)),"·",M34*G34/F34/1000000)</f>
        <v/>
      </c>
      <c r="K34" s="30">
        <f>IF(ISBLANK(M34),"·",M34/D34)</f>
        <v/>
      </c>
      <c r="L34" s="59" t="n">
        <v>76725</v>
      </c>
      <c r="M34" s="31" t="n">
        <v>2954664</v>
      </c>
      <c r="N34" s="60" t="n">
        <v>83.16571690000001</v>
      </c>
      <c r="O34" s="60" t="n">
        <v>87.0688234</v>
      </c>
      <c r="P34" s="60" t="n">
        <v>42.2424264</v>
      </c>
      <c r="Q34" s="60" t="n">
        <v>47.6357881</v>
      </c>
      <c r="R34" s="60" t="n">
        <v>46.830174</v>
      </c>
      <c r="S34" s="60" t="n">
        <v>54.0578204</v>
      </c>
      <c r="T34" s="60" t="n">
        <v>40.7946097</v>
      </c>
      <c r="U34" s="32" t="n">
        <v>519.809695</v>
      </c>
      <c r="V34" s="32" t="n">
        <v>5.81805801</v>
      </c>
      <c r="X34" s="29">
        <f>IF(OR(ISBLANK(AA34),ISBLANK(G34)),"·",AA34*G34/F34/1000000)</f>
        <v/>
      </c>
      <c r="Y34" s="30">
        <f>IF(ISBLANK(AA34),"·",AA34/D34)</f>
        <v/>
      </c>
      <c r="Z34" s="59" t="n">
        <v>76725</v>
      </c>
      <c r="AA34" s="31" t="n">
        <v>1459072</v>
      </c>
      <c r="AB34" s="60" t="n">
        <v>83.16571690000001</v>
      </c>
      <c r="AC34" s="60" t="n">
        <v>87.0688234</v>
      </c>
      <c r="AD34" s="60" t="n">
        <v>37.4432539</v>
      </c>
      <c r="AE34" s="60" t="n">
        <v>44.0388621</v>
      </c>
      <c r="AF34" s="60" t="n">
        <v>42.5074543</v>
      </c>
      <c r="AG34" s="60" t="n">
        <v>54.0578204</v>
      </c>
      <c r="AH34" s="60" t="n">
        <v>36.9798654</v>
      </c>
      <c r="AI34" s="32" t="n">
        <v>265.492266</v>
      </c>
      <c r="AJ34" s="32" t="n">
        <v>0.694589159</v>
      </c>
      <c r="AL34" s="33" t="n"/>
      <c r="AM34" s="33" t="n"/>
      <c r="AN34" s="33" t="n"/>
      <c r="AO34" s="33" t="n"/>
      <c r="AP34" s="33" t="n"/>
      <c r="AQ34" s="33" t="n"/>
      <c r="AR34" s="33" t="n"/>
    </row>
    <row r="35">
      <c r="A35" s="74" t="n"/>
      <c r="B35" s="74" t="inlineStr">
        <is>
          <t>mitch_voxelised</t>
        </is>
      </c>
      <c r="C35" s="20" t="inlineStr">
        <is>
          <t>r01</t>
        </is>
      </c>
      <c r="D35" s="74" t="n">
        <v>9000000</v>
      </c>
      <c r="E35" s="19" t="n">
        <v>12</v>
      </c>
      <c r="F35" s="20" t="n">
        <v>4</v>
      </c>
      <c r="G35" s="20" t="n">
        <v>30</v>
      </c>
      <c r="H35" s="20" t="n">
        <v>3</v>
      </c>
      <c r="J35" s="21">
        <f>IF(OR(ISBLANK(M35),ISBLANK(G35)),"·",M35*G35/F35/1000000)</f>
        <v/>
      </c>
      <c r="K35" s="22">
        <f>IF(ISBLANK(M35),"·",M35/D35)</f>
        <v/>
      </c>
      <c r="L35" s="45" t="n">
        <v>460736</v>
      </c>
      <c r="M35" s="23" t="n">
        <v>464608</v>
      </c>
      <c r="N35" s="46" t="n">
        <v>71.9555625</v>
      </c>
      <c r="O35" s="46" t="n">
        <v>73.6571726</v>
      </c>
      <c r="P35" s="46" t="n">
        <v>29.4874376</v>
      </c>
      <c r="Q35" s="46" t="n">
        <v>38.5936008</v>
      </c>
      <c r="R35" s="46" t="n">
        <v>38.6096844</v>
      </c>
      <c r="S35" s="46" t="n">
        <v>48.1466135</v>
      </c>
      <c r="T35" s="46" t="n">
        <v>28.6050241</v>
      </c>
      <c r="U35" s="24" t="n">
        <v>194.131296</v>
      </c>
      <c r="V35" s="24" t="n">
        <v>1.2445202</v>
      </c>
      <c r="X35" s="21">
        <f>IF(OR(ISBLANK(AA35),ISBLANK(G35)),"·",AA35*G35/F35/1000000)</f>
        <v/>
      </c>
      <c r="Y35" s="22">
        <f>IF(ISBLANK(AA35),"·",AA35/D35)</f>
        <v/>
      </c>
      <c r="Z35" s="45" t="n">
        <v>460736</v>
      </c>
      <c r="AA35" s="23" t="n">
        <v>268800</v>
      </c>
      <c r="AB35" s="46" t="n">
        <v>71.9555625</v>
      </c>
      <c r="AC35" s="46" t="n">
        <v>73.6571726</v>
      </c>
      <c r="AD35" s="46" t="n">
        <v>28.4452376</v>
      </c>
      <c r="AE35" s="46" t="n">
        <v>38.2509066</v>
      </c>
      <c r="AF35" s="46" t="n">
        <v>37.9613864</v>
      </c>
      <c r="AG35" s="46" t="n">
        <v>48.1466135</v>
      </c>
      <c r="AH35" s="46" t="n">
        <v>27.901914</v>
      </c>
      <c r="AI35" s="24" t="n">
        <v>178.91319</v>
      </c>
      <c r="AJ35" s="24" t="n">
        <v>0.605054667</v>
      </c>
      <c r="AL35" s="25">
        <f t="array" ref="AL35">IF( OR(AND(ISBLANK(M35:M39)),AND(ISBLANK(AA35:AA39)), AND(ISBLANK(N35:N39)),AND(ISBLANK(AB35:AB39))), "·", bdRateExtend( M35:M39,N35:N39, AA35:AA39,AB35:AB39))</f>
        <v/>
      </c>
      <c r="AM35" s="25">
        <f t="array" ref="AM35">IF( OR(AND(ISBLANK(M35:M39)),AND(ISBLANK(AA35:AA39)), AND(ISBLANK(O35:O39)),AND(ISBLANK(AC35:AC39))), "·", bdRateExtend( M35:M39,O35:O39, AA35:AA39,AC35:AC39))</f>
        <v/>
      </c>
      <c r="AN35" s="25">
        <f t="array" ref="AN35">IF( OR(AND(ISBLANK(M35:M39)),AND(ISBLANK(AA35:AA39)), AND(ISBLANK(P35:P39)),AND(ISBLANK(AD35:AD39))), "·", bdRateExtend( M35:M39,P35:P39, AA35:AA39,AD35:AD39))</f>
        <v/>
      </c>
      <c r="AO35" s="25">
        <f t="array" ref="AO35">IF( OR(AND(ISBLANK(M35:M39)),AND(ISBLANK(AA35:AA39)), AND(ISBLANK(Q35:Q39)),AND(ISBLANK(AE35:AE39))), "·", bdRateExtend( M35:M39,Q35:Q39, AA35:AA39,AE35:AE39))</f>
        <v/>
      </c>
      <c r="AP35" s="25">
        <f t="array" ref="AP35">IF( OR(AND(ISBLANK(M35:M39)),AND(ISBLANK(AA35:AA39)), AND(ISBLANK(R35:R39)),AND(ISBLANK(AF35:AF39))), "·", bdRateExtend( M35:M39,R35:R39, AA35:AA39,AF35:AF39))</f>
        <v/>
      </c>
      <c r="AQ35" s="25">
        <f t="array" ref="AQ35">IF( OR(AND(ISBLANK(M35:M39)),AND(ISBLANK(AA35:AA39)), AND(ISBLANK(S35:S39)),AND(ISBLANK(AG35:AG39))), "·", bdRateExtend( M35:M39,S35:S39, AA35:AA39,AG35:AG39))</f>
        <v/>
      </c>
      <c r="AR35" s="25">
        <f t="array" ref="AR35">IF( OR(AND(ISBLANK(M35:M39)),AND(ISBLANK(AA35:AA39)), AND(ISBLANK(T35:T39)),AND(ISBLANK(AH35:AH39))), "·", bdRateExtend( M35:M39,T35:T39, AA35:AA39,AH35:AH39))</f>
        <v/>
      </c>
    </row>
    <row r="36" outlineLevel="1" s="5">
      <c r="A36" s="75" t="n"/>
      <c r="B36" s="75" t="inlineStr">
        <is>
          <t>mitch_voxelised</t>
        </is>
      </c>
      <c r="C36" s="36" t="inlineStr">
        <is>
          <t>r02</t>
        </is>
      </c>
      <c r="D36" s="75" t="n">
        <v>9000000</v>
      </c>
      <c r="E36" s="35" t="n">
        <v>12</v>
      </c>
      <c r="F36" s="36" t="n">
        <v>4</v>
      </c>
      <c r="G36" s="36" t="n">
        <v>30</v>
      </c>
      <c r="H36" s="36" t="n">
        <v>4</v>
      </c>
      <c r="J36" s="37">
        <f>IF(OR(ISBLANK(M36),ISBLANK(G36)),"·",M36*G36/F36/1000000)</f>
        <v/>
      </c>
      <c r="K36" s="38">
        <f>IF(ISBLANK(M36),"·",M36/D36)</f>
        <v/>
      </c>
      <c r="L36" s="47" t="n">
        <v>460736</v>
      </c>
      <c r="M36" s="39" t="n">
        <v>628040</v>
      </c>
      <c r="N36" s="48" t="n">
        <v>72.8625466</v>
      </c>
      <c r="O36" s="48" t="n">
        <v>74.68035190000001</v>
      </c>
      <c r="P36" s="48" t="n">
        <v>29.8126449</v>
      </c>
      <c r="Q36" s="48" t="n">
        <v>38.6670916</v>
      </c>
      <c r="R36" s="48" t="n">
        <v>38.7475364</v>
      </c>
      <c r="S36" s="48" t="n">
        <v>48.4990903</v>
      </c>
      <c r="T36" s="48" t="n">
        <v>28.9226944</v>
      </c>
      <c r="U36" s="40" t="n">
        <v>198.657204</v>
      </c>
      <c r="V36" s="40" t="n">
        <v>1.2769683</v>
      </c>
      <c r="X36" s="37">
        <f>IF(OR(ISBLANK(AA36),ISBLANK(G36)),"·",AA36*G36/F36/1000000)</f>
        <v/>
      </c>
      <c r="Y36" s="38">
        <f>IF(ISBLANK(AA36),"·",AA36/D36)</f>
        <v/>
      </c>
      <c r="Z36" s="47" t="n">
        <v>460736</v>
      </c>
      <c r="AA36" s="39" t="n">
        <v>340408</v>
      </c>
      <c r="AB36" s="48" t="n">
        <v>72.8625466</v>
      </c>
      <c r="AC36" s="48" t="n">
        <v>74.68035190000001</v>
      </c>
      <c r="AD36" s="48" t="n">
        <v>28.7085819</v>
      </c>
      <c r="AE36" s="48" t="n">
        <v>38.2972692</v>
      </c>
      <c r="AF36" s="48" t="n">
        <v>38.0907147</v>
      </c>
      <c r="AG36" s="48" t="n">
        <v>48.4990903</v>
      </c>
      <c r="AH36" s="48" t="n">
        <v>28.1696835</v>
      </c>
      <c r="AI36" s="40" t="n">
        <v>165.480046</v>
      </c>
      <c r="AJ36" s="40" t="n">
        <v>0.690771324</v>
      </c>
      <c r="AL36" s="41" t="n"/>
      <c r="AM36" s="41" t="n"/>
      <c r="AN36" s="41" t="n"/>
      <c r="AO36" s="41" t="n"/>
      <c r="AP36" s="41" t="n"/>
      <c r="AQ36" s="41" t="n"/>
      <c r="AR36" s="41" t="n"/>
    </row>
    <row r="37" outlineLevel="1" s="5">
      <c r="A37" s="74" t="n"/>
      <c r="B37" s="74" t="inlineStr">
        <is>
          <t>mitch_voxelised</t>
        </is>
      </c>
      <c r="C37" s="20" t="inlineStr">
        <is>
          <t>r03</t>
        </is>
      </c>
      <c r="D37" s="74" t="n">
        <v>9000000</v>
      </c>
      <c r="E37" s="19" t="n">
        <v>12</v>
      </c>
      <c r="F37" s="20" t="n">
        <v>4</v>
      </c>
      <c r="G37" s="20" t="n">
        <v>30</v>
      </c>
      <c r="H37" s="20" t="n">
        <v>6</v>
      </c>
      <c r="J37" s="21">
        <f>IF(OR(ISBLANK(M37),ISBLANK(G37)),"·",M37*G37/F37/1000000)</f>
        <v/>
      </c>
      <c r="K37" s="22">
        <f>IF(ISBLANK(M37),"·",M37/D37)</f>
        <v/>
      </c>
      <c r="L37" s="45" t="n">
        <v>460736</v>
      </c>
      <c r="M37" s="23" t="n">
        <v>925088</v>
      </c>
      <c r="N37" s="46" t="n">
        <v>75.26941549999999</v>
      </c>
      <c r="O37" s="46" t="n">
        <v>77.5242992</v>
      </c>
      <c r="P37" s="46" t="n">
        <v>30.3947205</v>
      </c>
      <c r="Q37" s="46" t="n">
        <v>38.7741363</v>
      </c>
      <c r="R37" s="46" t="n">
        <v>38.9774661</v>
      </c>
      <c r="S37" s="46" t="n">
        <v>50.1931943</v>
      </c>
      <c r="T37" s="46" t="n">
        <v>29.5681054</v>
      </c>
      <c r="U37" s="24" t="n">
        <v>592.235654</v>
      </c>
      <c r="V37" s="24" t="n">
        <v>4.94085186</v>
      </c>
      <c r="X37" s="21">
        <f>IF(OR(ISBLANK(AA37),ISBLANK(G37)),"·",AA37*G37/F37/1000000)</f>
        <v/>
      </c>
      <c r="Y37" s="22">
        <f>IF(ISBLANK(AA37),"·",AA37/D37)</f>
        <v/>
      </c>
      <c r="Z37" s="45" t="n">
        <v>460736</v>
      </c>
      <c r="AA37" s="23" t="n">
        <v>311784</v>
      </c>
      <c r="AB37" s="46" t="n">
        <v>75.26941549999999</v>
      </c>
      <c r="AC37" s="46" t="n">
        <v>77.5242992</v>
      </c>
      <c r="AD37" s="46" t="n">
        <v>28.1697419</v>
      </c>
      <c r="AE37" s="46" t="n">
        <v>38.2209155</v>
      </c>
      <c r="AF37" s="46" t="n">
        <v>37.8525131</v>
      </c>
      <c r="AG37" s="46" t="n">
        <v>50.1931943</v>
      </c>
      <c r="AH37" s="46" t="n">
        <v>27.876462</v>
      </c>
      <c r="AI37" s="24" t="n">
        <v>162.012231</v>
      </c>
      <c r="AJ37" s="24" t="n">
        <v>0.630850618</v>
      </c>
      <c r="AL37" s="25" t="n"/>
      <c r="AM37" s="25" t="n"/>
      <c r="AN37" s="25" t="n"/>
      <c r="AO37" s="25" t="n"/>
      <c r="AP37" s="25" t="n"/>
      <c r="AQ37" s="25" t="n"/>
      <c r="AR37" s="25" t="n"/>
    </row>
    <row r="38" outlineLevel="1" s="5">
      <c r="A38" s="75" t="n"/>
      <c r="B38" s="75" t="inlineStr">
        <is>
          <t>mitch_voxelised</t>
        </is>
      </c>
      <c r="C38" s="36" t="inlineStr">
        <is>
          <t>r04</t>
        </is>
      </c>
      <c r="D38" s="75" t="n">
        <v>9000000</v>
      </c>
      <c r="E38" s="35" t="n">
        <v>12</v>
      </c>
      <c r="F38" s="36" t="n">
        <v>4</v>
      </c>
      <c r="G38" s="36" t="n">
        <v>30</v>
      </c>
      <c r="H38" s="36" t="n">
        <v>8</v>
      </c>
      <c r="J38" s="37">
        <f>IF(OR(ISBLANK(M38),ISBLANK(G38)),"·",M38*G38/F38/1000000)</f>
        <v/>
      </c>
      <c r="K38" s="38">
        <f>IF(ISBLANK(M38),"·",M38/D38)</f>
        <v/>
      </c>
      <c r="L38" s="47" t="n">
        <v>119964</v>
      </c>
      <c r="M38" s="39" t="n">
        <v>1337048</v>
      </c>
      <c r="N38" s="48" t="n">
        <v>565.427173</v>
      </c>
      <c r="O38" s="48" t="n">
        <v>566.77233</v>
      </c>
      <c r="P38" s="48" t="n">
        <v>30.5713067</v>
      </c>
      <c r="Q38" s="48" t="n">
        <v>38.6652722</v>
      </c>
      <c r="R38" s="48" t="n">
        <v>38.8177346</v>
      </c>
      <c r="S38" s="48" t="n">
        <v>563.175524</v>
      </c>
      <c r="T38" s="48" t="n">
        <v>30.5328729</v>
      </c>
      <c r="U38" s="40" t="n">
        <v>463.115444</v>
      </c>
      <c r="V38" s="40" t="n">
        <v>4.50511806</v>
      </c>
      <c r="X38" s="37">
        <f>IF(OR(ISBLANK(AA38),ISBLANK(G38)),"·",AA38*G38/F38/1000000)</f>
        <v/>
      </c>
      <c r="Y38" s="38">
        <f>IF(ISBLANK(AA38),"·",AA38/D38)</f>
        <v/>
      </c>
      <c r="Z38" s="47" t="n">
        <v>119964</v>
      </c>
      <c r="AA38" s="39" t="n">
        <v>948760</v>
      </c>
      <c r="AB38" s="48" t="n">
        <v>565.427173</v>
      </c>
      <c r="AC38" s="48" t="n">
        <v>566.77233</v>
      </c>
      <c r="AD38" s="48" t="n">
        <v>27.9649591</v>
      </c>
      <c r="AE38" s="48" t="n">
        <v>37.9655885</v>
      </c>
      <c r="AF38" s="48" t="n">
        <v>37.5086084</v>
      </c>
      <c r="AG38" s="48" t="n">
        <v>563.175524</v>
      </c>
      <c r="AH38" s="48" t="n">
        <v>27.9421474</v>
      </c>
      <c r="AI38" s="40" t="n">
        <v>59.0940606</v>
      </c>
      <c r="AJ38" s="40" t="n">
        <v>1.14816382</v>
      </c>
      <c r="AL38" s="41" t="n"/>
      <c r="AM38" s="41" t="n"/>
      <c r="AN38" s="41" t="n"/>
      <c r="AO38" s="41" t="n"/>
      <c r="AP38" s="41" t="n"/>
      <c r="AQ38" s="41" t="n"/>
      <c r="AR38" s="41" t="n"/>
    </row>
    <row r="39" outlineLevel="1" ht="15.75" customHeight="1" s="5" thickBot="1">
      <c r="A39" s="74" t="n"/>
      <c r="B39" s="49" t="inlineStr">
        <is>
          <t>mitch_voxelised</t>
        </is>
      </c>
      <c r="C39" s="50" t="inlineStr">
        <is>
          <t>r05</t>
        </is>
      </c>
      <c r="D39" s="49" t="n">
        <v>9000000</v>
      </c>
      <c r="E39" s="51" t="n">
        <v>12</v>
      </c>
      <c r="F39" s="50" t="n">
        <v>4</v>
      </c>
      <c r="G39" s="50" t="n">
        <v>30</v>
      </c>
      <c r="H39" s="50" t="n">
        <v>12</v>
      </c>
      <c r="J39" s="52">
        <f>IF(OR(ISBLANK(M39),ISBLANK(G39)),"·",M39*G39/F39/1000000)</f>
        <v/>
      </c>
      <c r="K39" s="53">
        <f>IF(ISBLANK(M39),"·",M39/D39)</f>
        <v/>
      </c>
      <c r="L39" s="54" t="n">
        <v>119964</v>
      </c>
      <c r="M39" s="55" t="n">
        <v>1857456</v>
      </c>
      <c r="N39" s="56" t="n">
        <v>565.427173</v>
      </c>
      <c r="O39" s="56" t="n">
        <v>566.77233</v>
      </c>
      <c r="P39" s="56" t="n">
        <v>31.7492104</v>
      </c>
      <c r="Q39" s="56" t="n">
        <v>38.7815851</v>
      </c>
      <c r="R39" s="56" t="n">
        <v>39.0836184</v>
      </c>
      <c r="S39" s="56" t="n">
        <v>563.175524</v>
      </c>
      <c r="T39" s="56" t="n">
        <v>31.7070036</v>
      </c>
      <c r="U39" s="57" t="n">
        <v>514.79014</v>
      </c>
      <c r="V39" s="57" t="n">
        <v>4.79186635</v>
      </c>
      <c r="X39" s="52">
        <f>IF(OR(ISBLANK(AA39),ISBLANK(G39)),"·",AA39*G39/F39/1000000)</f>
        <v/>
      </c>
      <c r="Y39" s="53">
        <f>IF(ISBLANK(AA39),"·",AA39/D39)</f>
        <v/>
      </c>
      <c r="Z39" s="54" t="n">
        <v>119964</v>
      </c>
      <c r="AA39" s="55" t="n">
        <v>1026248</v>
      </c>
      <c r="AB39" s="56" t="n">
        <v>565.427173</v>
      </c>
      <c r="AC39" s="56" t="n">
        <v>566.77233</v>
      </c>
      <c r="AD39" s="56" t="n">
        <v>28.6392789</v>
      </c>
      <c r="AE39" s="56" t="n">
        <v>38.1640585</v>
      </c>
      <c r="AF39" s="56" t="n">
        <v>37.8360702</v>
      </c>
      <c r="AG39" s="56" t="n">
        <v>563.175524</v>
      </c>
      <c r="AH39" s="56" t="n">
        <v>28.5949964</v>
      </c>
      <c r="AI39" s="57" t="n">
        <v>67.4455445</v>
      </c>
      <c r="AJ39" s="57" t="n">
        <v>1.13154166</v>
      </c>
      <c r="AL39" s="58" t="n"/>
      <c r="AM39" s="58" t="n"/>
      <c r="AN39" s="58" t="n"/>
      <c r="AO39" s="58" t="n"/>
      <c r="AP39" s="58" t="n"/>
      <c r="AQ39" s="58" t="n"/>
      <c r="AR39" s="58" t="n"/>
    </row>
    <row r="40">
      <c r="A40" s="75" t="n"/>
      <c r="B40" s="75" t="inlineStr">
        <is>
          <t>thomas_voxelised</t>
        </is>
      </c>
      <c r="C40" s="36" t="inlineStr">
        <is>
          <t>r01</t>
        </is>
      </c>
      <c r="D40" s="75" t="n">
        <v>9000000</v>
      </c>
      <c r="E40" s="35" t="n">
        <v>12</v>
      </c>
      <c r="F40" s="36" t="n">
        <v>4</v>
      </c>
      <c r="G40" s="36" t="n">
        <v>30</v>
      </c>
      <c r="H40" s="36" t="n">
        <v>3</v>
      </c>
      <c r="J40" s="37">
        <f>IF(OR(ISBLANK(M40),ISBLANK(G40)),"·",M40*G40/F40/1000000)</f>
        <v/>
      </c>
      <c r="K40" s="38">
        <f>IF(ISBLANK(M40),"·",M40/D40)</f>
        <v/>
      </c>
      <c r="L40" s="47" t="n">
        <v>460544</v>
      </c>
      <c r="M40" s="39" t="n">
        <v>463752</v>
      </c>
      <c r="N40" s="48" t="n">
        <v>73.2622705</v>
      </c>
      <c r="O40" s="48" t="n">
        <v>74.8735616</v>
      </c>
      <c r="P40" s="48" t="n">
        <v>32.4836097</v>
      </c>
      <c r="Q40" s="48" t="n">
        <v>42.3521071</v>
      </c>
      <c r="R40" s="48" t="n">
        <v>42.6872071</v>
      </c>
      <c r="S40" s="48" t="n">
        <v>48.9426872</v>
      </c>
      <c r="T40" s="48" t="n">
        <v>31.6462386</v>
      </c>
      <c r="U40" s="40" t="n">
        <v>174.807857</v>
      </c>
      <c r="V40" s="40" t="n">
        <v>1.23686761</v>
      </c>
      <c r="X40" s="37">
        <f>IF(OR(ISBLANK(AA40),ISBLANK(G40)),"·",AA40*G40/F40/1000000)</f>
        <v/>
      </c>
      <c r="Y40" s="38">
        <f>IF(ISBLANK(AA40),"·",AA40/D40)</f>
        <v/>
      </c>
      <c r="Z40" s="47" t="n">
        <v>460544</v>
      </c>
      <c r="AA40" s="39" t="n">
        <v>267816</v>
      </c>
      <c r="AB40" s="48" t="n">
        <v>73.2622705</v>
      </c>
      <c r="AC40" s="48" t="n">
        <v>74.8735616</v>
      </c>
      <c r="AD40" s="48" t="n">
        <v>31.213978</v>
      </c>
      <c r="AE40" s="48" t="n">
        <v>41.4240044</v>
      </c>
      <c r="AF40" s="48" t="n">
        <v>41.6677132</v>
      </c>
      <c r="AG40" s="48" t="n">
        <v>48.9426872</v>
      </c>
      <c r="AH40" s="48" t="n">
        <v>30.750406</v>
      </c>
      <c r="AI40" s="40" t="n">
        <v>144.562983</v>
      </c>
      <c r="AJ40" s="40" t="n">
        <v>0.689753725</v>
      </c>
      <c r="AL40" s="41">
        <f t="array" ref="AL40">IF( OR(AND(ISBLANK(M40:M44)),AND(ISBLANK(AA40:AA44)), AND(ISBLANK(N40:N44)),AND(ISBLANK(AB40:AB44))), "·", bdRateExtend( M40:M44,N40:N44, AA40:AA44,AB40:AB44))</f>
        <v/>
      </c>
      <c r="AM40" s="41">
        <f t="array" ref="AM40">IF( OR(AND(ISBLANK(M40:M44)),AND(ISBLANK(AA40:AA44)), AND(ISBLANK(O40:O44)),AND(ISBLANK(AC40:AC44))), "·", bdRateExtend( M40:M44,O40:O44, AA40:AA44,AC40:AC44))</f>
        <v/>
      </c>
      <c r="AN40" s="41">
        <f t="array" ref="AN40">IF( OR(AND(ISBLANK(M40:M44)),AND(ISBLANK(AA40:AA44)), AND(ISBLANK(P40:P44)),AND(ISBLANK(AD40:AD44))), "·", bdRateExtend( M40:M44,P40:P44, AA40:AA44,AD40:AD44))</f>
        <v/>
      </c>
      <c r="AO40" s="41">
        <f t="array" ref="AO40">IF( OR(AND(ISBLANK(M40:M44)),AND(ISBLANK(AA40:AA44)), AND(ISBLANK(Q40:Q44)),AND(ISBLANK(AE40:AE44))), "·", bdRateExtend( M40:M44,Q40:Q44, AA40:AA44,AE40:AE44))</f>
        <v/>
      </c>
      <c r="AP40" s="41">
        <f t="array" ref="AP40">IF( OR(AND(ISBLANK(M40:M44)),AND(ISBLANK(AA40:AA44)), AND(ISBLANK(R40:R44)),AND(ISBLANK(AF40:AF44))), "·", bdRateExtend( M40:M44,R40:R44, AA40:AA44,AF40:AF44))</f>
        <v/>
      </c>
      <c r="AQ40" s="41">
        <f t="array" ref="AQ40">IF( OR(AND(ISBLANK(M40:M44)),AND(ISBLANK(AA40:AA44)), AND(ISBLANK(S40:S44)),AND(ISBLANK(AG40:AG44))), "·", bdRateExtend( M40:M44,S40:S44, AA40:AA44,AG40:AG44))</f>
        <v/>
      </c>
      <c r="AR40" s="41">
        <f t="array" ref="AR40">IF( OR(AND(ISBLANK(M40:M44)),AND(ISBLANK(AA40:AA44)), AND(ISBLANK(T40:T44)),AND(ISBLANK(AH40:AH44))), "·", bdRateExtend( M40:M44,T40:T44, AA40:AA44,AH40:AH44))</f>
        <v/>
      </c>
    </row>
    <row r="41" outlineLevel="1" s="5">
      <c r="A41" s="74" t="n"/>
      <c r="B41" s="74" t="inlineStr">
        <is>
          <t>thomas_voxelised</t>
        </is>
      </c>
      <c r="C41" s="20" t="inlineStr">
        <is>
          <t>r02</t>
        </is>
      </c>
      <c r="D41" s="74" t="n">
        <v>9000000</v>
      </c>
      <c r="E41" s="19" t="n">
        <v>12</v>
      </c>
      <c r="F41" s="20" t="n">
        <v>4</v>
      </c>
      <c r="G41" s="20" t="n">
        <v>30</v>
      </c>
      <c r="H41" s="20" t="n">
        <v>4</v>
      </c>
      <c r="J41" s="21">
        <f>IF(OR(ISBLANK(M41),ISBLANK(G41)),"·",M41*G41/F41/1000000)</f>
        <v/>
      </c>
      <c r="K41" s="22">
        <f>IF(ISBLANK(M41),"·",M41/D41)</f>
        <v/>
      </c>
      <c r="L41" s="45" t="n">
        <v>460544</v>
      </c>
      <c r="M41" s="23" t="n">
        <v>629752</v>
      </c>
      <c r="N41" s="46" t="n">
        <v>74.1004322</v>
      </c>
      <c r="O41" s="46" t="n">
        <v>75.8261736</v>
      </c>
      <c r="P41" s="46" t="n">
        <v>32.8406269</v>
      </c>
      <c r="Q41" s="46" t="n">
        <v>42.46967</v>
      </c>
      <c r="R41" s="46" t="n">
        <v>42.927522</v>
      </c>
      <c r="S41" s="46" t="n">
        <v>49.7413826</v>
      </c>
      <c r="T41" s="46" t="n">
        <v>31.9403599</v>
      </c>
      <c r="U41" s="24" t="n">
        <v>180.625231</v>
      </c>
      <c r="V41" s="24" t="n">
        <v>1.3453839</v>
      </c>
      <c r="X41" s="21">
        <f>IF(OR(ISBLANK(AA41),ISBLANK(G41)),"·",AA41*G41/F41/1000000)</f>
        <v/>
      </c>
      <c r="Y41" s="22">
        <f>IF(ISBLANK(AA41),"·",AA41/D41)</f>
        <v/>
      </c>
      <c r="Z41" s="45" t="n">
        <v>460544</v>
      </c>
      <c r="AA41" s="23" t="n">
        <v>338696</v>
      </c>
      <c r="AB41" s="46" t="n">
        <v>74.1004322</v>
      </c>
      <c r="AC41" s="46" t="n">
        <v>75.8261736</v>
      </c>
      <c r="AD41" s="46" t="n">
        <v>31.5212994</v>
      </c>
      <c r="AE41" s="46" t="n">
        <v>41.7235029</v>
      </c>
      <c r="AF41" s="46" t="n">
        <v>41.8365744</v>
      </c>
      <c r="AG41" s="46" t="n">
        <v>49.7413826</v>
      </c>
      <c r="AH41" s="46" t="n">
        <v>31.0200676</v>
      </c>
      <c r="AI41" s="24" t="n">
        <v>152.472264</v>
      </c>
      <c r="AJ41" s="24" t="n">
        <v>0.635454045</v>
      </c>
      <c r="AL41" s="25" t="n"/>
      <c r="AM41" s="25" t="n"/>
      <c r="AN41" s="25" t="n"/>
      <c r="AO41" s="25" t="n"/>
      <c r="AP41" s="25" t="n"/>
      <c r="AQ41" s="25" t="n"/>
      <c r="AR41" s="25" t="n"/>
    </row>
    <row r="42" outlineLevel="1" s="5">
      <c r="A42" s="75" t="n"/>
      <c r="B42" s="75" t="inlineStr">
        <is>
          <t>thomas_voxelised</t>
        </is>
      </c>
      <c r="C42" s="36" t="inlineStr">
        <is>
          <t>r03</t>
        </is>
      </c>
      <c r="D42" s="75" t="n">
        <v>9000000</v>
      </c>
      <c r="E42" s="35" t="n">
        <v>12</v>
      </c>
      <c r="F42" s="36" t="n">
        <v>4</v>
      </c>
      <c r="G42" s="36" t="n">
        <v>30</v>
      </c>
      <c r="H42" s="36" t="n">
        <v>6</v>
      </c>
      <c r="J42" s="37">
        <f>IF(OR(ISBLANK(M42),ISBLANK(G42)),"·",M42*G42/F42/1000000)</f>
        <v/>
      </c>
      <c r="K42" s="38">
        <f>IF(ISBLANK(M42),"·",M42/D42)</f>
        <v/>
      </c>
      <c r="L42" s="47" t="n">
        <v>460544</v>
      </c>
      <c r="M42" s="39" t="n">
        <v>945152</v>
      </c>
      <c r="N42" s="48" t="n">
        <v>76.2844229</v>
      </c>
      <c r="O42" s="48" t="n">
        <v>78.442173</v>
      </c>
      <c r="P42" s="48" t="n">
        <v>33.436929</v>
      </c>
      <c r="Q42" s="48" t="n">
        <v>42.7489981</v>
      </c>
      <c r="R42" s="48" t="n">
        <v>43.1426519</v>
      </c>
      <c r="S42" s="48" t="n">
        <v>50.7045208</v>
      </c>
      <c r="T42" s="48" t="n">
        <v>32.6626486</v>
      </c>
      <c r="U42" s="40" t="n">
        <v>550.175934</v>
      </c>
      <c r="V42" s="40" t="n">
        <v>4.97690733</v>
      </c>
      <c r="X42" s="37">
        <f>IF(OR(ISBLANK(AA42),ISBLANK(G42)),"·",AA42*G42/F42/1000000)</f>
        <v/>
      </c>
      <c r="Y42" s="38">
        <f>IF(ISBLANK(AA42),"·",AA42/D42)</f>
        <v/>
      </c>
      <c r="Z42" s="47" t="n">
        <v>460544</v>
      </c>
      <c r="AA42" s="39" t="n">
        <v>340032</v>
      </c>
      <c r="AB42" s="48" t="n">
        <v>76.2844229</v>
      </c>
      <c r="AC42" s="48" t="n">
        <v>78.442173</v>
      </c>
      <c r="AD42" s="48" t="n">
        <v>30.9236475</v>
      </c>
      <c r="AE42" s="48" t="n">
        <v>41.4045808</v>
      </c>
      <c r="AF42" s="48" t="n">
        <v>41.3569643</v>
      </c>
      <c r="AG42" s="48" t="n">
        <v>50.7045208</v>
      </c>
      <c r="AH42" s="48" t="n">
        <v>30.6723786</v>
      </c>
      <c r="AI42" s="40" t="n">
        <v>139.254108</v>
      </c>
      <c r="AJ42" s="40" t="n">
        <v>0.583873246</v>
      </c>
      <c r="AL42" s="41" t="n"/>
      <c r="AM42" s="41" t="n"/>
      <c r="AN42" s="41" t="n"/>
      <c r="AO42" s="41" t="n"/>
      <c r="AP42" s="41" t="n"/>
      <c r="AQ42" s="41" t="n"/>
      <c r="AR42" s="41" t="n"/>
    </row>
    <row r="43" outlineLevel="1" s="5">
      <c r="A43" s="74" t="n"/>
      <c r="B43" s="74" t="inlineStr">
        <is>
          <t>thomas_voxelised</t>
        </is>
      </c>
      <c r="C43" s="20" t="inlineStr">
        <is>
          <t>r04</t>
        </is>
      </c>
      <c r="D43" s="74" t="n">
        <v>9000000</v>
      </c>
      <c r="E43" s="19" t="n">
        <v>12</v>
      </c>
      <c r="F43" s="20" t="n">
        <v>4</v>
      </c>
      <c r="G43" s="20" t="n">
        <v>30</v>
      </c>
      <c r="H43" s="20" t="n">
        <v>8</v>
      </c>
      <c r="J43" s="21">
        <f>IF(OR(ISBLANK(M43),ISBLANK(G43)),"·",M43*G43/F43/1000000)</f>
        <v/>
      </c>
      <c r="K43" s="22">
        <f>IF(ISBLANK(M43),"·",M43/D43)</f>
        <v/>
      </c>
      <c r="L43" s="45" t="n">
        <v>119950</v>
      </c>
      <c r="M43" s="23" t="n">
        <v>1350576</v>
      </c>
      <c r="N43" s="46" t="n">
        <v>558.708052</v>
      </c>
      <c r="O43" s="46" t="n">
        <v>561.131129</v>
      </c>
      <c r="P43" s="46" t="n">
        <v>33.6589043</v>
      </c>
      <c r="Q43" s="46" t="n">
        <v>42.6818693</v>
      </c>
      <c r="R43" s="46" t="n">
        <v>43.1751463</v>
      </c>
      <c r="S43" s="46" t="n">
        <v>557.847237</v>
      </c>
      <c r="T43" s="46" t="n">
        <v>33.6085415</v>
      </c>
      <c r="U43" s="24" t="n">
        <v>437.982209</v>
      </c>
      <c r="V43" s="24" t="n">
        <v>4.62470564</v>
      </c>
      <c r="X43" s="21">
        <f>IF(OR(ISBLANK(AA43),ISBLANK(G43)),"·",AA43*G43/F43/1000000)</f>
        <v/>
      </c>
      <c r="Y43" s="22">
        <f>IF(ISBLANK(AA43),"·",AA43/D43)</f>
        <v/>
      </c>
      <c r="Z43" s="45" t="n">
        <v>119950</v>
      </c>
      <c r="AA43" s="23" t="n">
        <v>940408</v>
      </c>
      <c r="AB43" s="46" t="n">
        <v>558.708052</v>
      </c>
      <c r="AC43" s="46" t="n">
        <v>561.131129</v>
      </c>
      <c r="AD43" s="46" t="n">
        <v>30.8214907</v>
      </c>
      <c r="AE43" s="46" t="n">
        <v>41.1349126</v>
      </c>
      <c r="AF43" s="46" t="n">
        <v>41.354765</v>
      </c>
      <c r="AG43" s="46" t="n">
        <v>557.847237</v>
      </c>
      <c r="AH43" s="46" t="n">
        <v>30.8215012</v>
      </c>
      <c r="AI43" s="24" t="n">
        <v>59.9937046</v>
      </c>
      <c r="AJ43" s="24" t="n">
        <v>0.803649192</v>
      </c>
      <c r="AL43" s="25" t="n"/>
      <c r="AM43" s="25" t="n"/>
      <c r="AN43" s="25" t="n"/>
      <c r="AO43" s="25" t="n"/>
      <c r="AP43" s="25" t="n"/>
      <c r="AQ43" s="25" t="n"/>
      <c r="AR43" s="25" t="n"/>
    </row>
    <row r="44" outlineLevel="1" ht="15.75" customHeight="1" s="5" thickBot="1">
      <c r="A44" s="26" t="n"/>
      <c r="B44" s="26" t="inlineStr">
        <is>
          <t>thomas_voxelised</t>
        </is>
      </c>
      <c r="C44" s="28" t="inlineStr">
        <is>
          <t>r05</t>
        </is>
      </c>
      <c r="D44" s="26" t="n">
        <v>9000000</v>
      </c>
      <c r="E44" s="27" t="n">
        <v>12</v>
      </c>
      <c r="F44" s="28" t="n">
        <v>4</v>
      </c>
      <c r="G44" s="28" t="n">
        <v>30</v>
      </c>
      <c r="H44" s="28" t="n">
        <v>12</v>
      </c>
      <c r="J44" s="29">
        <f>IF(OR(ISBLANK(M44),ISBLANK(G44)),"·",M44*G44/F44/1000000)</f>
        <v/>
      </c>
      <c r="K44" s="30">
        <f>IF(ISBLANK(M44),"·",M44/D44)</f>
        <v/>
      </c>
      <c r="L44" s="59" t="n">
        <v>119950</v>
      </c>
      <c r="M44" s="31" t="n">
        <v>2009000</v>
      </c>
      <c r="N44" s="60" t="n">
        <v>558.708052</v>
      </c>
      <c r="O44" s="60" t="n">
        <v>561.131129</v>
      </c>
      <c r="P44" s="60" t="n">
        <v>34.8975788</v>
      </c>
      <c r="Q44" s="60" t="n">
        <v>42.9779342</v>
      </c>
      <c r="R44" s="60" t="n">
        <v>43.603823</v>
      </c>
      <c r="S44" s="60" t="n">
        <v>557.847237</v>
      </c>
      <c r="T44" s="60" t="n">
        <v>34.8438778</v>
      </c>
      <c r="U44" s="32" t="n">
        <v>467.764467</v>
      </c>
      <c r="V44" s="32" t="n">
        <v>4.69055056</v>
      </c>
      <c r="X44" s="29">
        <f>IF(OR(ISBLANK(AA44),ISBLANK(G44)),"·",AA44*G44/F44/1000000)</f>
        <v/>
      </c>
      <c r="Y44" s="30">
        <f>IF(ISBLANK(AA44),"·",AA44/D44)</f>
        <v/>
      </c>
      <c r="Z44" s="59" t="n">
        <v>119950</v>
      </c>
      <c r="AA44" s="31" t="n">
        <v>1014664</v>
      </c>
      <c r="AB44" s="60" t="n">
        <v>558.708052</v>
      </c>
      <c r="AC44" s="60" t="n">
        <v>561.131129</v>
      </c>
      <c r="AD44" s="60" t="n">
        <v>31.4927979</v>
      </c>
      <c r="AE44" s="60" t="n">
        <v>41.5668077</v>
      </c>
      <c r="AF44" s="60" t="n">
        <v>41.7611599</v>
      </c>
      <c r="AG44" s="60" t="n">
        <v>557.847237</v>
      </c>
      <c r="AH44" s="60" t="n">
        <v>31.4678319</v>
      </c>
      <c r="AI44" s="32" t="n">
        <v>62.3671269</v>
      </c>
      <c r="AJ44" s="32" t="n">
        <v>0.558787896</v>
      </c>
      <c r="AL44" s="33" t="n"/>
      <c r="AM44" s="33" t="n"/>
      <c r="AN44" s="33" t="n"/>
      <c r="AO44" s="33" t="n"/>
      <c r="AP44" s="33" t="n"/>
      <c r="AQ44" s="33" t="n"/>
      <c r="AR44" s="33" t="n"/>
    </row>
    <row r="45">
      <c r="B45" s="42" t="inlineStr">
        <is>
          <t>Cat1-A average</t>
        </is>
      </c>
      <c r="K45" s="43">
        <f>AVERAGE(K5:K14)</f>
        <v/>
      </c>
      <c r="Y45" s="43">
        <f>AVERAGE(Y5:Y14)</f>
        <v/>
      </c>
      <c r="AL45" s="6">
        <f>AVERAGE(AL5:AL14)</f>
        <v/>
      </c>
      <c r="AM45" s="6">
        <f>AVERAGE(AM5:AM14)</f>
        <v/>
      </c>
      <c r="AN45" s="6">
        <f>AVERAGE(AN5:AN14)</f>
        <v/>
      </c>
      <c r="AO45" s="6">
        <f>AVERAGE(AO5:AO14)</f>
        <v/>
      </c>
      <c r="AP45" s="6">
        <f>AVERAGE(AP5:AP14)</f>
        <v/>
      </c>
      <c r="AQ45" s="6">
        <f>AVERAGE(AQ5:AQ14)</f>
        <v/>
      </c>
      <c r="AR45" s="6">
        <f>AVERAGE(AR5:AR14)</f>
        <v/>
      </c>
    </row>
    <row r="46">
      <c r="B46" s="42" t="inlineStr">
        <is>
          <t>Cat1-B average</t>
        </is>
      </c>
      <c r="K46" s="43">
        <f>AVERAGE(K15:K24)</f>
        <v/>
      </c>
      <c r="Y46" s="43">
        <f>AVERAGE(Y15:Y24)</f>
        <v/>
      </c>
      <c r="AL46" s="6">
        <f>AVERAGE(AL15:AL24)</f>
        <v/>
      </c>
      <c r="AM46" s="6">
        <f>AVERAGE(AM15:AM24)</f>
        <v/>
      </c>
      <c r="AN46" s="6">
        <f>AVERAGE(AN15:AN24)</f>
        <v/>
      </c>
      <c r="AO46" s="6">
        <f>AVERAGE(AO15:AO24)</f>
        <v/>
      </c>
      <c r="AP46" s="6">
        <f>AVERAGE(AP15:AP24)</f>
        <v/>
      </c>
      <c r="AQ46" s="6">
        <f>AVERAGE(AQ15:AQ24)</f>
        <v/>
      </c>
      <c r="AR46" s="6">
        <f>AVERAGE(AR15:AR24)</f>
        <v/>
      </c>
    </row>
    <row r="47">
      <c r="B47" s="42" t="inlineStr">
        <is>
          <t>Cat1-C average</t>
        </is>
      </c>
      <c r="K47" s="43">
        <f>AVERAGE(K25:K44)</f>
        <v/>
      </c>
      <c r="Y47" s="43">
        <f>AVERAGE(Y25:Y44)</f>
        <v/>
      </c>
      <c r="AL47" s="6">
        <f>AVERAGE(AL25:AL44)</f>
        <v/>
      </c>
      <c r="AM47" s="6">
        <f>AVERAGE(AM25:AM44)</f>
        <v/>
      </c>
      <c r="AN47" s="6">
        <f>AVERAGE(AN25:AN44)</f>
        <v/>
      </c>
      <c r="AO47" s="6">
        <f>AVERAGE(AO25:AO44)</f>
        <v/>
      </c>
      <c r="AP47" s="6">
        <f>AVERAGE(AP25:AP44)</f>
        <v/>
      </c>
      <c r="AQ47" s="6">
        <f>AVERAGE(AQ25:AQ44)</f>
        <v/>
      </c>
      <c r="AR47" s="6">
        <f>AVERAGE(AR25:AR44)</f>
        <v/>
      </c>
    </row>
    <row r="48" ht="15.75" customHeight="1" s="5" thickBot="1">
      <c r="B48" s="42" t="inlineStr">
        <is>
          <t>Overall average</t>
        </is>
      </c>
      <c r="K48" s="43">
        <f>AVERAGE(K5:K44)</f>
        <v/>
      </c>
      <c r="Y48" s="43">
        <f>AVERAGE(Y5:Y44)</f>
        <v/>
      </c>
      <c r="AL48" s="6">
        <f>AVERAGE(AL5:AL44)</f>
        <v/>
      </c>
      <c r="AM48" s="6">
        <f>AVERAGE(AM5:AM44)</f>
        <v/>
      </c>
      <c r="AN48" s="6">
        <f>AVERAGE(AN5:AN44)</f>
        <v/>
      </c>
      <c r="AO48" s="6">
        <f>AVERAGE(AO5:AO44)</f>
        <v/>
      </c>
      <c r="AP48" s="6">
        <f>AVERAGE(AP5:AP44)</f>
        <v/>
      </c>
      <c r="AQ48" s="6">
        <f>AVERAGE(AQ5:AQ44)</f>
        <v/>
      </c>
      <c r="AR48" s="6">
        <f>AVERAGE(AR5:AR44)</f>
        <v/>
      </c>
    </row>
    <row r="49" ht="15.75" customHeight="1" s="5" thickBot="1">
      <c r="A49" s="42" t="inlineStr">
        <is>
          <t>Overall</t>
        </is>
      </c>
      <c r="B49" s="42" t="inlineStr">
        <is>
          <t>Total time [s]</t>
        </is>
      </c>
      <c r="U49" s="44">
        <f>SUM(U5:U14,U15:U24,U25:U44)</f>
        <v/>
      </c>
      <c r="V49" s="44">
        <f>SUM(V5:V14,V15:V24,V25:V44)</f>
        <v/>
      </c>
      <c r="X49" s="87" t="inlineStr">
        <is>
          <t>Differences</t>
        </is>
      </c>
      <c r="Y49" s="88" t="n"/>
      <c r="Z49" s="88" t="n"/>
      <c r="AA49" s="88" t="n"/>
      <c r="AB49" s="88" t="n"/>
      <c r="AC49" s="88" t="n"/>
      <c r="AD49" s="88" t="n"/>
      <c r="AE49" s="88" t="n"/>
      <c r="AF49" s="88" t="n"/>
      <c r="AG49" s="88" t="n"/>
      <c r="AH49" s="89" t="n"/>
      <c r="AI49" s="44">
        <f>SUM(AI5:AI14,AI15:AI24,AI25:AI44)</f>
        <v/>
      </c>
      <c r="AJ49" s="44">
        <f>SUM(AJ5:AJ14,AJ15:AJ24,AJ25:AJ44)</f>
        <v/>
      </c>
    </row>
    <row r="50">
      <c r="B50" s="42" t="inlineStr">
        <is>
          <t>Total time [%]</t>
        </is>
      </c>
      <c r="X50" s="90" t="inlineStr">
        <is>
          <t>cat1-A</t>
        </is>
      </c>
      <c r="Y50" s="74" t="inlineStr">
        <is>
          <t>longdress_voxelised</t>
        </is>
      </c>
      <c r="Z50" s="74">
        <f>L5-Z5</f>
        <v/>
      </c>
      <c r="AA50" s="74">
        <f>M5-AA5</f>
        <v/>
      </c>
      <c r="AB50" s="74">
        <f>N5-AB5</f>
        <v/>
      </c>
      <c r="AC50" s="74">
        <f>O5-AC5</f>
        <v/>
      </c>
      <c r="AD50" s="74">
        <f>P5-AD5</f>
        <v/>
      </c>
      <c r="AE50" s="74">
        <f>Q5-AE5</f>
        <v/>
      </c>
      <c r="AF50" s="74">
        <f>R5-AF5</f>
        <v/>
      </c>
      <c r="AG50" s="74">
        <f>S5-AG5</f>
        <v/>
      </c>
      <c r="AH50" s="76">
        <f>T5-AH5</f>
        <v/>
      </c>
      <c r="AI50" s="67">
        <f>AI49/U49</f>
        <v/>
      </c>
      <c r="AJ50" s="67">
        <f>AJ49/V49</f>
        <v/>
      </c>
    </row>
    <row r="51">
      <c r="X51" s="91" t="n"/>
      <c r="Y51" s="75" t="inlineStr">
        <is>
          <t>longdress_voxelised</t>
        </is>
      </c>
      <c r="Z51" s="75">
        <f>L6-Z6</f>
        <v/>
      </c>
      <c r="AA51" s="75">
        <f>M6-AA6</f>
        <v/>
      </c>
      <c r="AB51" s="75">
        <f>N6-AB6</f>
        <v/>
      </c>
      <c r="AC51" s="75">
        <f>O6-AC6</f>
        <v/>
      </c>
      <c r="AD51" s="75">
        <f>P6-AD6</f>
        <v/>
      </c>
      <c r="AE51" s="75">
        <f>Q6-AE6</f>
        <v/>
      </c>
      <c r="AF51" s="75">
        <f>R6-AF6</f>
        <v/>
      </c>
      <c r="AG51" s="75">
        <f>S6-AG6</f>
        <v/>
      </c>
      <c r="AH51" s="77">
        <f>T6-AH6</f>
        <v/>
      </c>
    </row>
    <row r="52">
      <c r="X52" s="91" t="n"/>
      <c r="Y52" s="74" t="inlineStr">
        <is>
          <t>longdress_voxelised</t>
        </is>
      </c>
      <c r="Z52" s="74">
        <f>L7-Z7</f>
        <v/>
      </c>
      <c r="AA52" s="74">
        <f>M7-AA7</f>
        <v/>
      </c>
      <c r="AB52" s="74">
        <f>N7-AB7</f>
        <v/>
      </c>
      <c r="AC52" s="74">
        <f>O7-AC7</f>
        <v/>
      </c>
      <c r="AD52" s="74">
        <f>P7-AD7</f>
        <v/>
      </c>
      <c r="AE52" s="74">
        <f>Q7-AE7</f>
        <v/>
      </c>
      <c r="AF52" s="74">
        <f>R7-AF7</f>
        <v/>
      </c>
      <c r="AG52" s="74">
        <f>S7-AG7</f>
        <v/>
      </c>
      <c r="AH52" s="76">
        <f>T7-AH7</f>
        <v/>
      </c>
    </row>
    <row r="53">
      <c r="X53" s="91" t="n"/>
      <c r="Y53" s="75" t="inlineStr">
        <is>
          <t>longdress_voxelised</t>
        </is>
      </c>
      <c r="Z53" s="75">
        <f>L8-Z8</f>
        <v/>
      </c>
      <c r="AA53" s="75">
        <f>M8-AA8</f>
        <v/>
      </c>
      <c r="AB53" s="75">
        <f>N8-AB8</f>
        <v/>
      </c>
      <c r="AC53" s="75">
        <f>O8-AC8</f>
        <v/>
      </c>
      <c r="AD53" s="75">
        <f>P8-AD8</f>
        <v/>
      </c>
      <c r="AE53" s="75">
        <f>Q8-AE8</f>
        <v/>
      </c>
      <c r="AF53" s="75">
        <f>R8-AF8</f>
        <v/>
      </c>
      <c r="AG53" s="75">
        <f>S8-AG8</f>
        <v/>
      </c>
      <c r="AH53" s="77">
        <f>T8-AH8</f>
        <v/>
      </c>
    </row>
    <row r="54" ht="15.75" customHeight="1" s="5" thickBot="1">
      <c r="X54" s="91" t="n"/>
      <c r="Y54" s="49" t="inlineStr">
        <is>
          <t>longdress_voxelised</t>
        </is>
      </c>
      <c r="Z54" s="49">
        <f>L9-Z9</f>
        <v/>
      </c>
      <c r="AA54" s="49">
        <f>M9-AA9</f>
        <v/>
      </c>
      <c r="AB54" s="49">
        <f>N9-AB9</f>
        <v/>
      </c>
      <c r="AC54" s="49">
        <f>O9-AC9</f>
        <v/>
      </c>
      <c r="AD54" s="49">
        <f>P9-AD9</f>
        <v/>
      </c>
      <c r="AE54" s="49">
        <f>Q9-AE9</f>
        <v/>
      </c>
      <c r="AF54" s="49">
        <f>R9-AF9</f>
        <v/>
      </c>
      <c r="AG54" s="49">
        <f>S9-AG9</f>
        <v/>
      </c>
      <c r="AH54" s="78">
        <f>T9-AH9</f>
        <v/>
      </c>
    </row>
    <row r="55">
      <c r="X55" s="91" t="n"/>
      <c r="Y55" s="75" t="inlineStr">
        <is>
          <t>soldier_voxelised</t>
        </is>
      </c>
      <c r="Z55" s="75">
        <f>L10-Z10</f>
        <v/>
      </c>
      <c r="AA55" s="75">
        <f>M10-AA10</f>
        <v/>
      </c>
      <c r="AB55" s="75">
        <f>N10-AB10</f>
        <v/>
      </c>
      <c r="AC55" s="75">
        <f>O10-AC10</f>
        <v/>
      </c>
      <c r="AD55" s="75">
        <f>P10-AD10</f>
        <v/>
      </c>
      <c r="AE55" s="75">
        <f>Q10-AE10</f>
        <v/>
      </c>
      <c r="AF55" s="75">
        <f>R10-AF10</f>
        <v/>
      </c>
      <c r="AG55" s="75">
        <f>S10-AG10</f>
        <v/>
      </c>
      <c r="AH55" s="77">
        <f>T10-AH10</f>
        <v/>
      </c>
    </row>
    <row r="56">
      <c r="X56" s="91" t="n"/>
      <c r="Y56" s="74" t="inlineStr">
        <is>
          <t>soldier_voxelised</t>
        </is>
      </c>
      <c r="Z56" s="74">
        <f>L11-Z11</f>
        <v/>
      </c>
      <c r="AA56" s="74">
        <f>M11-AA11</f>
        <v/>
      </c>
      <c r="AB56" s="74">
        <f>N11-AB11</f>
        <v/>
      </c>
      <c r="AC56" s="74">
        <f>O11-AC11</f>
        <v/>
      </c>
      <c r="AD56" s="74">
        <f>P11-AD11</f>
        <v/>
      </c>
      <c r="AE56" s="74">
        <f>Q11-AE11</f>
        <v/>
      </c>
      <c r="AF56" s="74">
        <f>R11-AF11</f>
        <v/>
      </c>
      <c r="AG56" s="74">
        <f>S11-AG11</f>
        <v/>
      </c>
      <c r="AH56" s="76">
        <f>T11-AH11</f>
        <v/>
      </c>
    </row>
    <row r="57">
      <c r="X57" s="91" t="n"/>
      <c r="Y57" s="75" t="inlineStr">
        <is>
          <t>soldier_voxelised</t>
        </is>
      </c>
      <c r="Z57" s="75">
        <f>L12-Z12</f>
        <v/>
      </c>
      <c r="AA57" s="75">
        <f>M12-AA12</f>
        <v/>
      </c>
      <c r="AB57" s="75">
        <f>N12-AB12</f>
        <v/>
      </c>
      <c r="AC57" s="75">
        <f>O12-AC12</f>
        <v/>
      </c>
      <c r="AD57" s="75">
        <f>P12-AD12</f>
        <v/>
      </c>
      <c r="AE57" s="75">
        <f>Q12-AE12</f>
        <v/>
      </c>
      <c r="AF57" s="75">
        <f>R12-AF12</f>
        <v/>
      </c>
      <c r="AG57" s="75">
        <f>S12-AG12</f>
        <v/>
      </c>
      <c r="AH57" s="77">
        <f>T12-AH12</f>
        <v/>
      </c>
    </row>
    <row r="58">
      <c r="X58" s="91" t="n"/>
      <c r="Y58" s="74" t="inlineStr">
        <is>
          <t>soldier_voxelised</t>
        </is>
      </c>
      <c r="Z58" s="74">
        <f>L13-Z13</f>
        <v/>
      </c>
      <c r="AA58" s="74">
        <f>M13-AA13</f>
        <v/>
      </c>
      <c r="AB58" s="74">
        <f>N13-AB13</f>
        <v/>
      </c>
      <c r="AC58" s="74">
        <f>O13-AC13</f>
        <v/>
      </c>
      <c r="AD58" s="74">
        <f>P13-AD13</f>
        <v/>
      </c>
      <c r="AE58" s="74">
        <f>Q13-AE13</f>
        <v/>
      </c>
      <c r="AF58" s="74">
        <f>R13-AF13</f>
        <v/>
      </c>
      <c r="AG58" s="74">
        <f>S13-AG13</f>
        <v/>
      </c>
      <c r="AH58" s="76">
        <f>T13-AH13</f>
        <v/>
      </c>
    </row>
    <row r="59" ht="15.75" customHeight="1" s="5" thickBot="1">
      <c r="X59" s="92" t="n"/>
      <c r="Y59" s="26" t="inlineStr">
        <is>
          <t>soldier_voxelised</t>
        </is>
      </c>
      <c r="Z59" s="26">
        <f>L14-Z14</f>
        <v/>
      </c>
      <c r="AA59" s="26">
        <f>M14-AA14</f>
        <v/>
      </c>
      <c r="AB59" s="26">
        <f>N14-AB14</f>
        <v/>
      </c>
      <c r="AC59" s="26">
        <f>O14-AC14</f>
        <v/>
      </c>
      <c r="AD59" s="26">
        <f>P14-AD14</f>
        <v/>
      </c>
      <c r="AE59" s="26">
        <f>Q14-AE14</f>
        <v/>
      </c>
      <c r="AF59" s="26">
        <f>R14-AF14</f>
        <v/>
      </c>
      <c r="AG59" s="26">
        <f>S14-AG14</f>
        <v/>
      </c>
      <c r="AH59" s="79">
        <f>T14-AH14</f>
        <v/>
      </c>
    </row>
    <row r="60">
      <c r="X60" s="90" t="inlineStr">
        <is>
          <t>cat1-B</t>
        </is>
      </c>
      <c r="Y60" s="74" t="inlineStr">
        <is>
          <t>basketball_player_voxelised</t>
        </is>
      </c>
      <c r="Z60" s="74">
        <f>L15-Z15</f>
        <v/>
      </c>
      <c r="AA60" s="74">
        <f>M15-AA15</f>
        <v/>
      </c>
      <c r="AB60" s="74">
        <f>N15-AB15</f>
        <v/>
      </c>
      <c r="AC60" s="74">
        <f>O15-AC15</f>
        <v/>
      </c>
      <c r="AD60" s="74">
        <f>P15-AD15</f>
        <v/>
      </c>
      <c r="AE60" s="74">
        <f>Q15-AE15</f>
        <v/>
      </c>
      <c r="AF60" s="74">
        <f>R15-AF15</f>
        <v/>
      </c>
      <c r="AG60" s="74">
        <f>S15-AG15</f>
        <v/>
      </c>
      <c r="AH60" s="76">
        <f>T15-AH15</f>
        <v/>
      </c>
    </row>
    <row r="61">
      <c r="X61" s="91" t="n"/>
      <c r="Y61" s="75" t="inlineStr">
        <is>
          <t>basketball_player_voxelised</t>
        </is>
      </c>
      <c r="Z61" s="75">
        <f>L16-Z16</f>
        <v/>
      </c>
      <c r="AA61" s="75">
        <f>M16-AA16</f>
        <v/>
      </c>
      <c r="AB61" s="75">
        <f>N16-AB16</f>
        <v/>
      </c>
      <c r="AC61" s="75">
        <f>O16-AC16</f>
        <v/>
      </c>
      <c r="AD61" s="75">
        <f>P16-AD16</f>
        <v/>
      </c>
      <c r="AE61" s="75">
        <f>Q16-AE16</f>
        <v/>
      </c>
      <c r="AF61" s="75">
        <f>R16-AF16</f>
        <v/>
      </c>
      <c r="AG61" s="75">
        <f>S16-AG16</f>
        <v/>
      </c>
      <c r="AH61" s="77">
        <f>T16-AH16</f>
        <v/>
      </c>
    </row>
    <row r="62">
      <c r="X62" s="91" t="n"/>
      <c r="Y62" s="74" t="inlineStr">
        <is>
          <t>basketball_player_voxelised</t>
        </is>
      </c>
      <c r="Z62" s="74">
        <f>L17-Z17</f>
        <v/>
      </c>
      <c r="AA62" s="74">
        <f>M17-AA17</f>
        <v/>
      </c>
      <c r="AB62" s="74">
        <f>N17-AB17</f>
        <v/>
      </c>
      <c r="AC62" s="74">
        <f>O17-AC17</f>
        <v/>
      </c>
      <c r="AD62" s="74">
        <f>P17-AD17</f>
        <v/>
      </c>
      <c r="AE62" s="74">
        <f>Q17-AE17</f>
        <v/>
      </c>
      <c r="AF62" s="74">
        <f>R17-AF17</f>
        <v/>
      </c>
      <c r="AG62" s="74">
        <f>S17-AG17</f>
        <v/>
      </c>
      <c r="AH62" s="76">
        <f>T17-AH17</f>
        <v/>
      </c>
    </row>
    <row r="63">
      <c r="X63" s="91" t="n"/>
      <c r="Y63" s="75" t="inlineStr">
        <is>
          <t>basketball_player_voxelised</t>
        </is>
      </c>
      <c r="Z63" s="75">
        <f>L18-Z18</f>
        <v/>
      </c>
      <c r="AA63" s="75">
        <f>M18-AA18</f>
        <v/>
      </c>
      <c r="AB63" s="75">
        <f>N18-AB18</f>
        <v/>
      </c>
      <c r="AC63" s="75">
        <f>O18-AC18</f>
        <v/>
      </c>
      <c r="AD63" s="75">
        <f>P18-AD18</f>
        <v/>
      </c>
      <c r="AE63" s="75">
        <f>Q18-AE18</f>
        <v/>
      </c>
      <c r="AF63" s="75">
        <f>R18-AF18</f>
        <v/>
      </c>
      <c r="AG63" s="75">
        <f>S18-AG18</f>
        <v/>
      </c>
      <c r="AH63" s="77">
        <f>T18-AH18</f>
        <v/>
      </c>
    </row>
    <row r="64" ht="15.75" customHeight="1" s="5" thickBot="1">
      <c r="X64" s="91" t="n"/>
      <c r="Y64" s="49" t="inlineStr">
        <is>
          <t>basketball_player_voxelised</t>
        </is>
      </c>
      <c r="Z64" s="49">
        <f>L19-Z19</f>
        <v/>
      </c>
      <c r="AA64" s="49">
        <f>M19-AA19</f>
        <v/>
      </c>
      <c r="AB64" s="49">
        <f>N19-AB19</f>
        <v/>
      </c>
      <c r="AC64" s="49">
        <f>O19-AC19</f>
        <v/>
      </c>
      <c r="AD64" s="49">
        <f>P19-AD19</f>
        <v/>
      </c>
      <c r="AE64" s="49">
        <f>Q19-AE19</f>
        <v/>
      </c>
      <c r="AF64" s="49">
        <f>R19-AF19</f>
        <v/>
      </c>
      <c r="AG64" s="49">
        <f>S19-AG19</f>
        <v/>
      </c>
      <c r="AH64" s="78">
        <f>T19-AH19</f>
        <v/>
      </c>
    </row>
    <row r="65">
      <c r="X65" s="91" t="n"/>
      <c r="Y65" s="75" t="inlineStr">
        <is>
          <t>dancer_voxelised</t>
        </is>
      </c>
      <c r="Z65" s="75">
        <f>L20-Z20</f>
        <v/>
      </c>
      <c r="AA65" s="75">
        <f>M20-AA20</f>
        <v/>
      </c>
      <c r="AB65" s="75">
        <f>N20-AB20</f>
        <v/>
      </c>
      <c r="AC65" s="75">
        <f>O20-AC20</f>
        <v/>
      </c>
      <c r="AD65" s="75">
        <f>P20-AD20</f>
        <v/>
      </c>
      <c r="AE65" s="75">
        <f>Q20-AE20</f>
        <v/>
      </c>
      <c r="AF65" s="75">
        <f>R20-AF20</f>
        <v/>
      </c>
      <c r="AG65" s="75">
        <f>S20-AG20</f>
        <v/>
      </c>
      <c r="AH65" s="77">
        <f>T20-AH20</f>
        <v/>
      </c>
    </row>
    <row r="66">
      <c r="X66" s="91" t="n"/>
      <c r="Y66" s="74" t="inlineStr">
        <is>
          <t>dancer_voxelised</t>
        </is>
      </c>
      <c r="Z66" s="74">
        <f>L21-Z21</f>
        <v/>
      </c>
      <c r="AA66" s="74">
        <f>M21-AA21</f>
        <v/>
      </c>
      <c r="AB66" s="74">
        <f>N21-AB21</f>
        <v/>
      </c>
      <c r="AC66" s="74">
        <f>O21-AC21</f>
        <v/>
      </c>
      <c r="AD66" s="74">
        <f>P21-AD21</f>
        <v/>
      </c>
      <c r="AE66" s="74">
        <f>Q21-AE21</f>
        <v/>
      </c>
      <c r="AF66" s="74">
        <f>R21-AF21</f>
        <v/>
      </c>
      <c r="AG66" s="74">
        <f>S21-AG21</f>
        <v/>
      </c>
      <c r="AH66" s="76">
        <f>T21-AH21</f>
        <v/>
      </c>
    </row>
    <row r="67">
      <c r="X67" s="91" t="n"/>
      <c r="Y67" s="75" t="inlineStr">
        <is>
          <t>dancer_voxelised</t>
        </is>
      </c>
      <c r="Z67" s="75">
        <f>L22-Z22</f>
        <v/>
      </c>
      <c r="AA67" s="75">
        <f>M22-AA22</f>
        <v/>
      </c>
      <c r="AB67" s="75">
        <f>N22-AB22</f>
        <v/>
      </c>
      <c r="AC67" s="75">
        <f>O22-AC22</f>
        <v/>
      </c>
      <c r="AD67" s="75">
        <f>P22-AD22</f>
        <v/>
      </c>
      <c r="AE67" s="75">
        <f>Q22-AE22</f>
        <v/>
      </c>
      <c r="AF67" s="75">
        <f>R22-AF22</f>
        <v/>
      </c>
      <c r="AG67" s="75">
        <f>S22-AG22</f>
        <v/>
      </c>
      <c r="AH67" s="77">
        <f>T22-AH22</f>
        <v/>
      </c>
    </row>
    <row r="68">
      <c r="X68" s="91" t="n"/>
      <c r="Y68" s="74" t="inlineStr">
        <is>
          <t>dancer_voxelised</t>
        </is>
      </c>
      <c r="Z68" s="74">
        <f>L23-Z23</f>
        <v/>
      </c>
      <c r="AA68" s="74">
        <f>M23-AA23</f>
        <v/>
      </c>
      <c r="AB68" s="74">
        <f>N23-AB23</f>
        <v/>
      </c>
      <c r="AC68" s="74">
        <f>O23-AC23</f>
        <v/>
      </c>
      <c r="AD68" s="74">
        <f>P23-AD23</f>
        <v/>
      </c>
      <c r="AE68" s="74">
        <f>Q23-AE23</f>
        <v/>
      </c>
      <c r="AF68" s="74">
        <f>R23-AF23</f>
        <v/>
      </c>
      <c r="AG68" s="74">
        <f>S23-AG23</f>
        <v/>
      </c>
      <c r="AH68" s="76">
        <f>T23-AH23</f>
        <v/>
      </c>
    </row>
    <row r="69" ht="15.75" customHeight="1" s="5" thickBot="1">
      <c r="X69" s="92" t="n"/>
      <c r="Y69" s="26" t="inlineStr">
        <is>
          <t>dancer_voxelised</t>
        </is>
      </c>
      <c r="Z69" s="26">
        <f>L24-Z24</f>
        <v/>
      </c>
      <c r="AA69" s="26">
        <f>M24-AA24</f>
        <v/>
      </c>
      <c r="AB69" s="26">
        <f>N24-AB24</f>
        <v/>
      </c>
      <c r="AC69" s="26">
        <f>O24-AC24</f>
        <v/>
      </c>
      <c r="AD69" s="26">
        <f>P24-AD24</f>
        <v/>
      </c>
      <c r="AE69" s="26">
        <f>Q24-AE24</f>
        <v/>
      </c>
      <c r="AF69" s="26">
        <f>R24-AF24</f>
        <v/>
      </c>
      <c r="AG69" s="26">
        <f>S24-AG24</f>
        <v/>
      </c>
      <c r="AH69" s="79">
        <f>T24-AH24</f>
        <v/>
      </c>
    </row>
    <row r="70">
      <c r="X70" s="90" t="inlineStr">
        <is>
          <t>cat1-C</t>
        </is>
      </c>
      <c r="Y70" s="74" t="inlineStr">
        <is>
          <t>football_voxelised</t>
        </is>
      </c>
      <c r="Z70" s="74">
        <f>L25-Z25</f>
        <v/>
      </c>
      <c r="AA70" s="74">
        <f>M25-AA25</f>
        <v/>
      </c>
      <c r="AB70" s="74">
        <f>N25-AB25</f>
        <v/>
      </c>
      <c r="AC70" s="74">
        <f>O25-AC25</f>
        <v/>
      </c>
      <c r="AD70" s="74">
        <f>P25-AD25</f>
        <v/>
      </c>
      <c r="AE70" s="74">
        <f>Q25-AE25</f>
        <v/>
      </c>
      <c r="AF70" s="74">
        <f>R25-AF25</f>
        <v/>
      </c>
      <c r="AG70" s="74">
        <f>S25-AG25</f>
        <v/>
      </c>
      <c r="AH70" s="76">
        <f>T25-AH25</f>
        <v/>
      </c>
    </row>
    <row r="71">
      <c r="X71" s="91" t="n"/>
      <c r="Y71" s="75" t="inlineStr">
        <is>
          <t>football_voxelised</t>
        </is>
      </c>
      <c r="Z71" s="75">
        <f>L26-Z26</f>
        <v/>
      </c>
      <c r="AA71" s="75">
        <f>M26-AA26</f>
        <v/>
      </c>
      <c r="AB71" s="75">
        <f>N26-AB26</f>
        <v/>
      </c>
      <c r="AC71" s="75">
        <f>O26-AC26</f>
        <v/>
      </c>
      <c r="AD71" s="75">
        <f>P26-AD26</f>
        <v/>
      </c>
      <c r="AE71" s="75">
        <f>Q26-AE26</f>
        <v/>
      </c>
      <c r="AF71" s="75">
        <f>R26-AF26</f>
        <v/>
      </c>
      <c r="AG71" s="75">
        <f>S26-AG26</f>
        <v/>
      </c>
      <c r="AH71" s="77">
        <f>T26-AH26</f>
        <v/>
      </c>
    </row>
    <row r="72">
      <c r="X72" s="91" t="n"/>
      <c r="Y72" s="74" t="inlineStr">
        <is>
          <t>football_voxelised</t>
        </is>
      </c>
      <c r="Z72" s="74">
        <f>L27-Z27</f>
        <v/>
      </c>
      <c r="AA72" s="74">
        <f>M27-AA27</f>
        <v/>
      </c>
      <c r="AB72" s="74">
        <f>N27-AB27</f>
        <v/>
      </c>
      <c r="AC72" s="74">
        <f>O27-AC27</f>
        <v/>
      </c>
      <c r="AD72" s="74">
        <f>P27-AD27</f>
        <v/>
      </c>
      <c r="AE72" s="74">
        <f>Q27-AE27</f>
        <v/>
      </c>
      <c r="AF72" s="74">
        <f>R27-AF27</f>
        <v/>
      </c>
      <c r="AG72" s="74">
        <f>S27-AG27</f>
        <v/>
      </c>
      <c r="AH72" s="76">
        <f>T27-AH27</f>
        <v/>
      </c>
    </row>
    <row r="73">
      <c r="X73" s="91" t="n"/>
      <c r="Y73" s="75" t="inlineStr">
        <is>
          <t>football_voxelised</t>
        </is>
      </c>
      <c r="Z73" s="75">
        <f>L28-Z28</f>
        <v/>
      </c>
      <c r="AA73" s="75">
        <f>M28-AA28</f>
        <v/>
      </c>
      <c r="AB73" s="75">
        <f>N28-AB28</f>
        <v/>
      </c>
      <c r="AC73" s="75">
        <f>O28-AC28</f>
        <v/>
      </c>
      <c r="AD73" s="75">
        <f>P28-AD28</f>
        <v/>
      </c>
      <c r="AE73" s="75">
        <f>Q28-AE28</f>
        <v/>
      </c>
      <c r="AF73" s="75">
        <f>R28-AF28</f>
        <v/>
      </c>
      <c r="AG73" s="75">
        <f>S28-AG28</f>
        <v/>
      </c>
      <c r="AH73" s="77">
        <f>T28-AH28</f>
        <v/>
      </c>
    </row>
    <row r="74" ht="15.75" customHeight="1" s="5" thickBot="1">
      <c r="X74" s="91" t="n"/>
      <c r="Y74" s="49" t="inlineStr">
        <is>
          <t>football_voxelised</t>
        </is>
      </c>
      <c r="Z74" s="49">
        <f>L29-Z29</f>
        <v/>
      </c>
      <c r="AA74" s="49">
        <f>M29-AA29</f>
        <v/>
      </c>
      <c r="AB74" s="49">
        <f>N29-AB29</f>
        <v/>
      </c>
      <c r="AC74" s="49">
        <f>O29-AC29</f>
        <v/>
      </c>
      <c r="AD74" s="49">
        <f>P29-AD29</f>
        <v/>
      </c>
      <c r="AE74" s="49">
        <f>Q29-AE29</f>
        <v/>
      </c>
      <c r="AF74" s="49">
        <f>R29-AF29</f>
        <v/>
      </c>
      <c r="AG74" s="49">
        <f>S29-AG29</f>
        <v/>
      </c>
      <c r="AH74" s="78">
        <f>T29-AH29</f>
        <v/>
      </c>
    </row>
    <row r="75">
      <c r="X75" s="91" t="n"/>
      <c r="Y75" s="75" t="inlineStr">
        <is>
          <t>levi_voxelised</t>
        </is>
      </c>
      <c r="Z75" s="75">
        <f>L30-Z30</f>
        <v/>
      </c>
      <c r="AA75" s="75">
        <f>M30-AA30</f>
        <v/>
      </c>
      <c r="AB75" s="75">
        <f>N30-AB30</f>
        <v/>
      </c>
      <c r="AC75" s="75">
        <f>O30-AC30</f>
        <v/>
      </c>
      <c r="AD75" s="75">
        <f>P30-AD30</f>
        <v/>
      </c>
      <c r="AE75" s="75">
        <f>Q30-AE30</f>
        <v/>
      </c>
      <c r="AF75" s="75">
        <f>R30-AF30</f>
        <v/>
      </c>
      <c r="AG75" s="75">
        <f>S30-AG30</f>
        <v/>
      </c>
      <c r="AH75" s="77">
        <f>T30-AH30</f>
        <v/>
      </c>
    </row>
    <row r="76">
      <c r="X76" s="91" t="n"/>
      <c r="Y76" s="74" t="inlineStr">
        <is>
          <t>levi_voxelised</t>
        </is>
      </c>
      <c r="Z76" s="74">
        <f>L31-Z31</f>
        <v/>
      </c>
      <c r="AA76" s="74">
        <f>M31-AA31</f>
        <v/>
      </c>
      <c r="AB76" s="74">
        <f>N31-AB31</f>
        <v/>
      </c>
      <c r="AC76" s="74">
        <f>O31-AC31</f>
        <v/>
      </c>
      <c r="AD76" s="74">
        <f>P31-AD31</f>
        <v/>
      </c>
      <c r="AE76" s="74">
        <f>Q31-AE31</f>
        <v/>
      </c>
      <c r="AF76" s="74">
        <f>R31-AF31</f>
        <v/>
      </c>
      <c r="AG76" s="74">
        <f>S31-AG31</f>
        <v/>
      </c>
      <c r="AH76" s="76">
        <f>T31-AH31</f>
        <v/>
      </c>
    </row>
    <row r="77">
      <c r="X77" s="91" t="n"/>
      <c r="Y77" s="75" t="inlineStr">
        <is>
          <t>levi_voxelised</t>
        </is>
      </c>
      <c r="Z77" s="75">
        <f>L32-Z32</f>
        <v/>
      </c>
      <c r="AA77" s="75">
        <f>M32-AA32</f>
        <v/>
      </c>
      <c r="AB77" s="75">
        <f>N32-AB32</f>
        <v/>
      </c>
      <c r="AC77" s="75">
        <f>O32-AC32</f>
        <v/>
      </c>
      <c r="AD77" s="75">
        <f>P32-AD32</f>
        <v/>
      </c>
      <c r="AE77" s="75">
        <f>Q32-AE32</f>
        <v/>
      </c>
      <c r="AF77" s="75">
        <f>R32-AF32</f>
        <v/>
      </c>
      <c r="AG77" s="75">
        <f>S32-AG32</f>
        <v/>
      </c>
      <c r="AH77" s="77">
        <f>T32-AH32</f>
        <v/>
      </c>
    </row>
    <row r="78">
      <c r="X78" s="91" t="n"/>
      <c r="Y78" s="74" t="inlineStr">
        <is>
          <t>levi_voxelised</t>
        </is>
      </c>
      <c r="Z78" s="74">
        <f>L33-Z33</f>
        <v/>
      </c>
      <c r="AA78" s="74">
        <f>M33-AA33</f>
        <v/>
      </c>
      <c r="AB78" s="74">
        <f>N33-AB33</f>
        <v/>
      </c>
      <c r="AC78" s="74">
        <f>O33-AC33</f>
        <v/>
      </c>
      <c r="AD78" s="74">
        <f>P33-AD33</f>
        <v/>
      </c>
      <c r="AE78" s="74">
        <f>Q33-AE33</f>
        <v/>
      </c>
      <c r="AF78" s="74">
        <f>R33-AF33</f>
        <v/>
      </c>
      <c r="AG78" s="74">
        <f>S33-AG33</f>
        <v/>
      </c>
      <c r="AH78" s="76">
        <f>T33-AH33</f>
        <v/>
      </c>
    </row>
    <row r="79" ht="15.75" customHeight="1" s="5" thickBot="1">
      <c r="X79" s="91" t="n"/>
      <c r="Y79" s="26" t="inlineStr">
        <is>
          <t>levi_voxelised</t>
        </is>
      </c>
      <c r="Z79" s="26">
        <f>L34-Z34</f>
        <v/>
      </c>
      <c r="AA79" s="26">
        <f>M34-AA34</f>
        <v/>
      </c>
      <c r="AB79" s="26">
        <f>N34-AB34</f>
        <v/>
      </c>
      <c r="AC79" s="26">
        <f>O34-AC34</f>
        <v/>
      </c>
      <c r="AD79" s="26">
        <f>P34-AD34</f>
        <v/>
      </c>
      <c r="AE79" s="26">
        <f>Q34-AE34</f>
        <v/>
      </c>
      <c r="AF79" s="26">
        <f>R34-AF34</f>
        <v/>
      </c>
      <c r="AG79" s="26">
        <f>S34-AG34</f>
        <v/>
      </c>
      <c r="AH79" s="79">
        <f>T34-AH34</f>
        <v/>
      </c>
    </row>
    <row r="80">
      <c r="X80" s="91" t="n"/>
      <c r="Y80" s="74" t="inlineStr">
        <is>
          <t>mitch_voxelised</t>
        </is>
      </c>
      <c r="Z80" s="74">
        <f>L35-Z35</f>
        <v/>
      </c>
      <c r="AA80" s="74">
        <f>M35-AA35</f>
        <v/>
      </c>
      <c r="AB80" s="74">
        <f>N35-AB35</f>
        <v/>
      </c>
      <c r="AC80" s="74">
        <f>O35-AC35</f>
        <v/>
      </c>
      <c r="AD80" s="74">
        <f>P35-AD35</f>
        <v/>
      </c>
      <c r="AE80" s="74">
        <f>Q35-AE35</f>
        <v/>
      </c>
      <c r="AF80" s="74">
        <f>R35-AF35</f>
        <v/>
      </c>
      <c r="AG80" s="74">
        <f>S35-AG35</f>
        <v/>
      </c>
      <c r="AH80" s="76">
        <f>T35-AH35</f>
        <v/>
      </c>
    </row>
    <row r="81">
      <c r="X81" s="91" t="n"/>
      <c r="Y81" s="75" t="inlineStr">
        <is>
          <t>mitch_voxelised</t>
        </is>
      </c>
      <c r="Z81" s="75">
        <f>L36-Z36</f>
        <v/>
      </c>
      <c r="AA81" s="75">
        <f>M36-AA36</f>
        <v/>
      </c>
      <c r="AB81" s="75">
        <f>N36-AB36</f>
        <v/>
      </c>
      <c r="AC81" s="75">
        <f>O36-AC36</f>
        <v/>
      </c>
      <c r="AD81" s="75">
        <f>P36-AD36</f>
        <v/>
      </c>
      <c r="AE81" s="75">
        <f>Q36-AE36</f>
        <v/>
      </c>
      <c r="AF81" s="75">
        <f>R36-AF36</f>
        <v/>
      </c>
      <c r="AG81" s="75">
        <f>S36-AG36</f>
        <v/>
      </c>
      <c r="AH81" s="77">
        <f>T36-AH36</f>
        <v/>
      </c>
    </row>
    <row r="82">
      <c r="X82" s="91" t="n"/>
      <c r="Y82" s="74" t="inlineStr">
        <is>
          <t>mitch_voxelised</t>
        </is>
      </c>
      <c r="Z82" s="74">
        <f>L37-Z37</f>
        <v/>
      </c>
      <c r="AA82" s="74">
        <f>M37-AA37</f>
        <v/>
      </c>
      <c r="AB82" s="74">
        <f>N37-AB37</f>
        <v/>
      </c>
      <c r="AC82" s="74">
        <f>O37-AC37</f>
        <v/>
      </c>
      <c r="AD82" s="74">
        <f>P37-AD37</f>
        <v/>
      </c>
      <c r="AE82" s="74">
        <f>Q37-AE37</f>
        <v/>
      </c>
      <c r="AF82" s="74">
        <f>R37-AF37</f>
        <v/>
      </c>
      <c r="AG82" s="74">
        <f>S37-AG37</f>
        <v/>
      </c>
      <c r="AH82" s="76">
        <f>T37-AH37</f>
        <v/>
      </c>
    </row>
    <row r="83">
      <c r="X83" s="91" t="n"/>
      <c r="Y83" s="75" t="inlineStr">
        <is>
          <t>mitch_voxelised</t>
        </is>
      </c>
      <c r="Z83" s="75">
        <f>L38-Z38</f>
        <v/>
      </c>
      <c r="AA83" s="75">
        <f>M38-AA38</f>
        <v/>
      </c>
      <c r="AB83" s="75">
        <f>N38-AB38</f>
        <v/>
      </c>
      <c r="AC83" s="75">
        <f>O38-AC38</f>
        <v/>
      </c>
      <c r="AD83" s="75">
        <f>P38-AD38</f>
        <v/>
      </c>
      <c r="AE83" s="75">
        <f>Q38-AE38</f>
        <v/>
      </c>
      <c r="AF83" s="75">
        <f>R38-AF38</f>
        <v/>
      </c>
      <c r="AG83" s="75">
        <f>S38-AG38</f>
        <v/>
      </c>
      <c r="AH83" s="77">
        <f>T38-AH38</f>
        <v/>
      </c>
    </row>
    <row r="84" ht="15.75" customHeight="1" s="5" thickBot="1">
      <c r="X84" s="91" t="n"/>
      <c r="Y84" s="49" t="inlineStr">
        <is>
          <t>mitch_voxelised</t>
        </is>
      </c>
      <c r="Z84" s="49">
        <f>L39-Z39</f>
        <v/>
      </c>
      <c r="AA84" s="49">
        <f>M39-AA39</f>
        <v/>
      </c>
      <c r="AB84" s="49">
        <f>N39-AB39</f>
        <v/>
      </c>
      <c r="AC84" s="49">
        <f>O39-AC39</f>
        <v/>
      </c>
      <c r="AD84" s="49">
        <f>P39-AD39</f>
        <v/>
      </c>
      <c r="AE84" s="49">
        <f>Q39-AE39</f>
        <v/>
      </c>
      <c r="AF84" s="49">
        <f>R39-AF39</f>
        <v/>
      </c>
      <c r="AG84" s="49">
        <f>S39-AG39</f>
        <v/>
      </c>
      <c r="AH84" s="78">
        <f>T39-AH39</f>
        <v/>
      </c>
    </row>
    <row r="85">
      <c r="X85" s="91" t="n"/>
      <c r="Y85" s="75" t="inlineStr">
        <is>
          <t>thomas_voxelised</t>
        </is>
      </c>
      <c r="Z85" s="75">
        <f>L40-Z40</f>
        <v/>
      </c>
      <c r="AA85" s="75">
        <f>M40-AA40</f>
        <v/>
      </c>
      <c r="AB85" s="75">
        <f>N40-AB40</f>
        <v/>
      </c>
      <c r="AC85" s="75">
        <f>O40-AC40</f>
        <v/>
      </c>
      <c r="AD85" s="75">
        <f>P40-AD40</f>
        <v/>
      </c>
      <c r="AE85" s="75">
        <f>Q40-AE40</f>
        <v/>
      </c>
      <c r="AF85" s="75">
        <f>R40-AF40</f>
        <v/>
      </c>
      <c r="AG85" s="75">
        <f>S40-AG40</f>
        <v/>
      </c>
      <c r="AH85" s="77">
        <f>T40-AH40</f>
        <v/>
      </c>
    </row>
    <row r="86">
      <c r="X86" s="91" t="n"/>
      <c r="Y86" s="74" t="inlineStr">
        <is>
          <t>thomas_voxelised</t>
        </is>
      </c>
      <c r="Z86" s="74">
        <f>L41-Z41</f>
        <v/>
      </c>
      <c r="AA86" s="74">
        <f>M41-AA41</f>
        <v/>
      </c>
      <c r="AB86" s="74">
        <f>N41-AB41</f>
        <v/>
      </c>
      <c r="AC86" s="74">
        <f>O41-AC41</f>
        <v/>
      </c>
      <c r="AD86" s="74">
        <f>P41-AD41</f>
        <v/>
      </c>
      <c r="AE86" s="74">
        <f>Q41-AE41</f>
        <v/>
      </c>
      <c r="AF86" s="74">
        <f>R41-AF41</f>
        <v/>
      </c>
      <c r="AG86" s="74">
        <f>S41-AG41</f>
        <v/>
      </c>
      <c r="AH86" s="76">
        <f>T41-AH41</f>
        <v/>
      </c>
    </row>
    <row r="87">
      <c r="X87" s="91" t="n"/>
      <c r="Y87" s="75" t="inlineStr">
        <is>
          <t>thomas_voxelised</t>
        </is>
      </c>
      <c r="Z87" s="75">
        <f>L42-Z42</f>
        <v/>
      </c>
      <c r="AA87" s="75">
        <f>M42-AA42</f>
        <v/>
      </c>
      <c r="AB87" s="75">
        <f>N42-AB42</f>
        <v/>
      </c>
      <c r="AC87" s="75">
        <f>O42-AC42</f>
        <v/>
      </c>
      <c r="AD87" s="75">
        <f>P42-AD42</f>
        <v/>
      </c>
      <c r="AE87" s="75">
        <f>Q42-AE42</f>
        <v/>
      </c>
      <c r="AF87" s="75">
        <f>R42-AF42</f>
        <v/>
      </c>
      <c r="AG87" s="75">
        <f>S42-AG42</f>
        <v/>
      </c>
      <c r="AH87" s="77">
        <f>T42-AH42</f>
        <v/>
      </c>
    </row>
    <row r="88">
      <c r="X88" s="91" t="n"/>
      <c r="Y88" s="74" t="inlineStr">
        <is>
          <t>thomas_voxelised</t>
        </is>
      </c>
      <c r="Z88" s="74">
        <f>L43-Z43</f>
        <v/>
      </c>
      <c r="AA88" s="74">
        <f>M43-AA43</f>
        <v/>
      </c>
      <c r="AB88" s="74">
        <f>N43-AB43</f>
        <v/>
      </c>
      <c r="AC88" s="74">
        <f>O43-AC43</f>
        <v/>
      </c>
      <c r="AD88" s="74">
        <f>P43-AD43</f>
        <v/>
      </c>
      <c r="AE88" s="74">
        <f>Q43-AE43</f>
        <v/>
      </c>
      <c r="AF88" s="74">
        <f>R43-AF43</f>
        <v/>
      </c>
      <c r="AG88" s="74">
        <f>S43-AG43</f>
        <v/>
      </c>
      <c r="AH88" s="76">
        <f>T43-AH43</f>
        <v/>
      </c>
    </row>
    <row r="89" ht="15.75" customHeight="1" s="5" thickBot="1">
      <c r="X89" s="92" t="n"/>
      <c r="Y89" s="26" t="inlineStr">
        <is>
          <t>thomas_voxelised</t>
        </is>
      </c>
      <c r="Z89" s="26">
        <f>L44-Z44</f>
        <v/>
      </c>
      <c r="AA89" s="26">
        <f>M44-AA44</f>
        <v/>
      </c>
      <c r="AB89" s="26">
        <f>N44-AB44</f>
        <v/>
      </c>
      <c r="AC89" s="26">
        <f>O44-AC44</f>
        <v/>
      </c>
      <c r="AD89" s="26">
        <f>P44-AD44</f>
        <v/>
      </c>
      <c r="AE89" s="26">
        <f>Q44-AE44</f>
        <v/>
      </c>
      <c r="AF89" s="26">
        <f>R44-AF44</f>
        <v/>
      </c>
      <c r="AG89" s="26">
        <f>S44-AG44</f>
        <v/>
      </c>
      <c r="AH89" s="79">
        <f>T44-AH44</f>
        <v/>
      </c>
    </row>
  </sheetData>
  <mergeCells count="33">
    <mergeCell ref="X50:X59"/>
    <mergeCell ref="X60:X69"/>
    <mergeCell ref="X70:X8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 ref="X49:AH49"/>
  </mergeCells>
  <conditionalFormatting sqref="AL5 AL6 AL7 AL8 AL9 AL10 AL11 AL12 AL13 AL14 AL15 AL16 AL17 AL18 AL19 AL20 AL21 AL22 AL23 AL24 AL25 AL26 AL27 AL28 AL29 AL30 AL31 AL32 AL33 AL34 AL35 AL36 AL37 AL38 AL39 AL40 AL41 AL42 AL43 AL44 AL45 AL46 AL47 AL48">
    <cfRule type="cellIs" priority="7" operator="greaterThanOrEqual" dxfId="3">
      <formula>0.03</formula>
    </cfRule>
    <cfRule type="cellIs" priority="8" operator="lessThanOrEqual" dxfId="2">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priority="3" operator="greaterThanOrEqual" dxfId="3">
      <formula>0.03</formula>
    </cfRule>
    <cfRule type="cellIs" priority="4" operator="lessThanOrEqual" dxfId="2">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priority="11" operator="greaterThanOrEqual" dxfId="3">
      <formula>0.03</formula>
    </cfRule>
    <cfRule type="cellIs" priority="12" operator="lessThanOrEqual" dxfId="2">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priority="13" operator="greaterThanOrEqual" dxfId="3">
      <formula>0.03</formula>
    </cfRule>
    <cfRule type="cellIs" priority="14" operator="lessThanOrEqual" dxfId="2">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priority="5" operator="greaterThanOrEqual" dxfId="3">
      <formula>0.03</formula>
    </cfRule>
    <cfRule type="cellIs" priority="6" operator="lessThanOrEqual" dxfId="2">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priority="15" operator="greaterThanOrEqual" dxfId="3">
      <formula>0.03</formula>
    </cfRule>
    <cfRule type="cellIs" priority="16" operator="lessThanOrEqual" dxfId="2">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priority="9" operator="greaterThanOrEqual" dxfId="3">
      <formula>0.03</formula>
    </cfRule>
    <cfRule type="cellIs" priority="10" operator="lessThanOrEqual" dxfId="2">
      <formula>-0.03</formula>
    </cfRule>
  </conditionalFormatting>
  <conditionalFormatting sqref="J5:J45">
    <cfRule type="expression" priority="2" dxfId="0">
      <formula>OR(J5 &lt; H5 * 0.9, J5 &gt; H5)</formula>
    </cfRule>
  </conditionalFormatting>
  <conditionalFormatting sqref="X5:X45">
    <cfRule type="expression" priority="1" dxfId="0">
      <formula>OR(X5 &lt; H5 * 0.9, X5 &gt; H5)</formula>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Bracco Graziosi, Danillo</dc:creator>
  <dc:title>MPEG dynamic mesh coding reporting template WG7/N231</dc:title>
  <dcterms:created xsi:type="dcterms:W3CDTF">2021-10-29T10:34:58Z</dcterms:created>
  <dcterms:modified xsi:type="dcterms:W3CDTF">2022-07-20T07:19:39Z</dcterms:modified>
  <cp:lastModifiedBy>Julien Ricard</cp:lastModifiedBy>
</cp:coreProperties>
</file>